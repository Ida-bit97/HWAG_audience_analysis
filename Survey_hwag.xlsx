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rya\Desktop\HWAG\"/>
    </mc:Choice>
  </mc:AlternateContent>
  <xr:revisionPtr revIDLastSave="0" documentId="13_ncr:1_{5DDBADB9-EB36-4333-9C25-D31C84DAD7B5}" xr6:coauthVersionLast="47" xr6:coauthVersionMax="47" xr10:uidLastSave="{00000000-0000-0000-0000-000000000000}"/>
  <bookViews>
    <workbookView xWindow="1152" yWindow="1152" windowWidth="16236" windowHeight="9804" activeTab="2" xr2:uid="{00000000-000D-0000-FFFF-FFFF00000000}"/>
  </bookViews>
  <sheets>
    <sheet name="Form Responses 1" sheetId="1" r:id="rId1"/>
    <sheet name="base" sheetId="5" r:id="rId2"/>
    <sheet name="dashboard" sheetId="7" r:id="rId3"/>
  </sheets>
  <definedNames>
    <definedName name="_xlnm._FilterDatabase" localSheetId="2" hidden="1">dashboard!$A$44:$B$47</definedName>
  </definedName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C82" i="7" l="1"/>
  <c r="C83" i="7"/>
  <c r="C84" i="7"/>
  <c r="C81" i="7"/>
  <c r="B64" i="7"/>
  <c r="B66" i="7"/>
  <c r="B62" i="7"/>
  <c r="B65" i="7"/>
  <c r="B67" i="7"/>
  <c r="B63" i="7"/>
  <c r="L32" i="5"/>
  <c r="M32" i="5"/>
  <c r="N32" i="5"/>
  <c r="O32" i="5"/>
  <c r="P32" i="5"/>
  <c r="K32" i="5"/>
  <c r="I32" i="5"/>
  <c r="B46" i="7" s="1"/>
  <c r="H32" i="5"/>
  <c r="B47" i="7" s="1"/>
  <c r="G32" i="5" l="1"/>
  <c r="B45" i="7" s="1"/>
</calcChain>
</file>

<file path=xl/sharedStrings.xml><?xml version="1.0" encoding="utf-8"?>
<sst xmlns="http://schemas.openxmlformats.org/spreadsheetml/2006/main" count="882" uniqueCount="142">
  <si>
    <t>Timestamp</t>
  </si>
  <si>
    <t>Email Address</t>
  </si>
  <si>
    <t>Are you interested in exploring job opportunities?</t>
  </si>
  <si>
    <t>What’s your age?</t>
  </si>
  <si>
    <t>Please select your gender</t>
  </si>
  <si>
    <t>How long have you been living in Denmark?</t>
  </si>
  <si>
    <t>Do you feel you need support in your job search?</t>
  </si>
  <si>
    <r>
      <rPr>
        <b/>
        <sz val="10"/>
        <color theme="1"/>
        <rFont val="Arial"/>
        <family val="2"/>
        <charset val="204"/>
      </rPr>
      <t xml:space="preserve">What is the main barrier you face in your job search in Denmark? </t>
    </r>
    <r>
      <rPr>
        <i/>
        <sz val="10"/>
        <color theme="1"/>
        <rFont val="Arial"/>
        <family val="2"/>
        <charset val="204"/>
      </rPr>
      <t>(Select only one)</t>
    </r>
  </si>
  <si>
    <t>What type of job are you primarily seeking?</t>
  </si>
  <si>
    <t>There are many organisations that help newcomers adjust after their relocation. 
When choosing an organisation to help you settle after relocation, which factors matter most? (Select up to 3)</t>
  </si>
  <si>
    <t>Which of the following formats would be helpful in your job search? 
(Select Yes, No, or Not sure for each) [Individual sessions with a mentor]</t>
  </si>
  <si>
    <t>Which of the following formats would be helpful in your job search? 
(Select Yes, No, or Not sure for each) [Group sessions with a mentor]</t>
  </si>
  <si>
    <t>Which of the following formats would be helpful in your job search? 
(Select Yes, No, or Not sure for each) [A specific toolkit to work on your own (book with worksheets and/or workbook) with a feedback]</t>
  </si>
  <si>
    <t>Which of the following formats would be helpful in your job search? 
(Select Yes, No, or Not sure for each) [A free unsupervised community (e.g., an online group)]</t>
  </si>
  <si>
    <t>If you know of other effective formats for job searching, please list them here:</t>
  </si>
  <si>
    <t>What formats of assistance would you be willing to pay for?</t>
  </si>
  <si>
    <t>How much would you be willing to pay per month for help with finding a job and adapting to a new country?</t>
  </si>
  <si>
    <t>Would you be willing to participate in further research?</t>
  </si>
  <si>
    <t>jsonnergren@yahoo.com</t>
  </si>
  <si>
    <t>Yes</t>
  </si>
  <si>
    <t>Female</t>
  </si>
  <si>
    <t>More than 10 years</t>
  </si>
  <si>
    <t>Difficulty transferring previous experience/qualifications</t>
  </si>
  <si>
    <t>I’m not sure yet</t>
  </si>
  <si>
    <t>Website and clarity of information provided, Services offered (types of programs, events, mentoring, etc.), Cost of participation, Accessibility (location, online/offline, opening hours)</t>
  </si>
  <si>
    <t>Monthly individual sessions with a mentor</t>
  </si>
  <si>
    <t>Would prefer to pay for the product, not for a subscription</t>
  </si>
  <si>
    <t>paulaamorees@gmail.com</t>
  </si>
  <si>
    <t>Less than 6 months</t>
  </si>
  <si>
    <t>I am not sure...</t>
  </si>
  <si>
    <t>Lack of local network/contacts</t>
  </si>
  <si>
    <t>Same profession as in your home country, Any available job</t>
  </si>
  <si>
    <t>Recommendations from friends/other expats, Online reviews/testimonials</t>
  </si>
  <si>
    <t>Not sure</t>
  </si>
  <si>
    <t>Not ready to pay at all</t>
  </si>
  <si>
    <t>jvabistsevits@gmail.com</t>
  </si>
  <si>
    <t>1 - 5 years</t>
  </si>
  <si>
    <t>Same profession as in your home country</t>
  </si>
  <si>
    <t>Recommendations from friends/other expats, Website and clarity of information provided, Cost of participation</t>
  </si>
  <si>
    <t>melissa1606@live.nl</t>
  </si>
  <si>
    <t>Recommendations from friends/other expats, Services offered (types of programs, events, mentoring, etc.)</t>
  </si>
  <si>
    <t>A specific methodology to work on your own, step by step, with comments from tutor</t>
  </si>
  <si>
    <t>andreaciavattone271@gmail.com</t>
  </si>
  <si>
    <t>Male</t>
  </si>
  <si>
    <t>6 months - 1 year</t>
  </si>
  <si>
    <t>Lack of knowledge about the job market</t>
  </si>
  <si>
    <t>Website and clarity of information provided, Services offered (types of programs, events, mentoring, etc.), Accessibility (location, online/offline, opening hours)</t>
  </si>
  <si>
    <t>No</t>
  </si>
  <si>
    <t>o1perets@yahoo.com</t>
  </si>
  <si>
    <t>Language skills</t>
  </si>
  <si>
    <t>Recommendations from friends/other expats, Online reviews/testimonials, Services offered (types of programs, events, mentoring, etc.), Accessibility (location, online/offline, opening hours)</t>
  </si>
  <si>
    <t>laisbiomarinha@gmail.com</t>
  </si>
  <si>
    <t>Non-binary</t>
  </si>
  <si>
    <t>Same profession as in your home country, Other profession than in your home country, Any available job</t>
  </si>
  <si>
    <t>Recommendations from friends/other expats, Online reviews/testimonials, Website and clarity of information provided, Services offered (types of programs, events, mentoring, etc.), Cost of participation, Accessibility (location, online/offline, opening hours)</t>
  </si>
  <si>
    <t>Professional fares</t>
  </si>
  <si>
    <t>er.bansalanuj@gmail.com</t>
  </si>
  <si>
    <t>Services offered (types of programs, events, mentoring, etc.), Cost of participation</t>
  </si>
  <si>
    <t>10-15 €</t>
  </si>
  <si>
    <t>Maybe</t>
  </si>
  <si>
    <t>danilenbm@gmail.com</t>
  </si>
  <si>
    <t>Website and clarity of information provided, Cost of participation, Accessibility (location, online/offline, opening hours)</t>
  </si>
  <si>
    <t>l.boeckemeier@gmail.com</t>
  </si>
  <si>
    <t>Other profession than in your home country, Any available job</t>
  </si>
  <si>
    <t>Recommendations from friends/other expats, Cost of participation</t>
  </si>
  <si>
    <t>eva.nadabanne@gmail.com</t>
  </si>
  <si>
    <t>Online reviews/testimonials, Website and clarity of information provided, Services offered (types of programs, events, mentoring, etc.)</t>
  </si>
  <si>
    <t>List of companies that would consider hiring expats.</t>
  </si>
  <si>
    <t>shokanova.ph@gmail.com</t>
  </si>
  <si>
    <t>Other profession than in your home country</t>
  </si>
  <si>
    <t>Recommendations from friends/other expats, Services offered (types of programs, events, mentoring, etc.), Cost of participation</t>
  </si>
  <si>
    <t>eliz.pavlova91@gmail.com</t>
  </si>
  <si>
    <t>Recommendations from friends/other expats, Services offered (types of programs, events, mentoring, etc.), Accessibility (location, online/offline, opening hours)</t>
  </si>
  <si>
    <t>Apply all vacation even they are not 100 % in your field</t>
  </si>
  <si>
    <t>kristinailina358@gmail.con</t>
  </si>
  <si>
    <t>Online reviews/testimonials, Services offered (types of programs, events, mentoring, etc.), Cost of participation</t>
  </si>
  <si>
    <t>List of expat-friendly vacancies or refferals</t>
  </si>
  <si>
    <t>ewpileva@gmail.com</t>
  </si>
  <si>
    <t>Recommendations from friends/other expats, Website and clarity of information provided, Services offered (types of programs, events, mentoring, etc.), Cost of participation, Accessibility (location, online/offline, opening hours)</t>
  </si>
  <si>
    <t>ann.sevostianova@gmail.com</t>
  </si>
  <si>
    <t>as67894@hotmail.com</t>
  </si>
  <si>
    <t>Website and clarity of information provided</t>
  </si>
  <si>
    <t>lucy.semenova@gmail.com</t>
  </si>
  <si>
    <t>Same profession as in your home country, Other profession than in your home country, Any available job, Job related to your partner’s field</t>
  </si>
  <si>
    <t>Online reviews/testimonials, Website and clarity of information provided, Services offered (types of programs, events, mentoring, etc.), Cost of participation, Accessibility (location, online/offline, opening hours)</t>
  </si>
  <si>
    <t>amilylp@mail.ru</t>
  </si>
  <si>
    <t>All of the mentioned above</t>
  </si>
  <si>
    <t>Same profession as in your home country, Other profession than in your home country</t>
  </si>
  <si>
    <t>Online reviews/testimonials, Website and clarity of information provided, Cost of participation</t>
  </si>
  <si>
    <t>lanelina135@gmail.com</t>
  </si>
  <si>
    <t>Don't understand the reason of so many refuses</t>
  </si>
  <si>
    <t>Recommendations from friends/other expats, Online reviews/testimonials, Website and clarity of information provided, Services offered (types of programs, events, mentoring, etc.), Accessibility (location, online/offline, opening hours)</t>
  </si>
  <si>
    <t>irina.petra.tva@gmail.com</t>
  </si>
  <si>
    <t>Website and clarity of information provided, Services offered (types of programs, events, mentoring, etc.), Cost of participation</t>
  </si>
  <si>
    <t>anecunocscut436@gmail.com</t>
  </si>
  <si>
    <t>Recommendations from friends/other expats, Accessibility (location, online/offline, opening hours)</t>
  </si>
  <si>
    <t>Any available job</t>
  </si>
  <si>
    <t>kelly.rasmussen@pm.me</t>
  </si>
  <si>
    <t>ananditaecos@gmail.com</t>
  </si>
  <si>
    <t>madhumantichakraborty16@gmail.com</t>
  </si>
  <si>
    <t>Recommendations from friends/other expats, Online reviews/testimonials, Accessibility (location, online/offline, opening hours)</t>
  </si>
  <si>
    <t>roboholori@gmail.com</t>
  </si>
  <si>
    <t>Recommendations from friends/other expats</t>
  </si>
  <si>
    <t>lipsti@gmail.com</t>
  </si>
  <si>
    <t>eugeniod@hotmail.it</t>
  </si>
  <si>
    <t>isabella.lueders@outlook.com</t>
  </si>
  <si>
    <t>anagloriasan@hotmail.com</t>
  </si>
  <si>
    <t>Individual sessions with a mentor</t>
  </si>
  <si>
    <t>Group sessions with a mentor</t>
  </si>
  <si>
    <t>A specific toolkit to work on your own (book with worksheets and/or workbook) with a feedback</t>
  </si>
  <si>
    <t>A free unsupervised community (e.g., an online group)</t>
  </si>
  <si>
    <t>Названия строк</t>
  </si>
  <si>
    <t>Общий итог</t>
  </si>
  <si>
    <t>Количество по полю What’s your age?</t>
  </si>
  <si>
    <t>20-29</t>
  </si>
  <si>
    <t>30-39</t>
  </si>
  <si>
    <t>40-49</t>
  </si>
  <si>
    <t>50-60</t>
  </si>
  <si>
    <t>Названия столбцов</t>
  </si>
  <si>
    <t>Количество по полю Do you feel you need support in your job search?</t>
  </si>
  <si>
    <t>Количество по полю What is the main barrier you face in your job search in Denmark? (Select only one)</t>
  </si>
  <si>
    <t>Same profession as in a home country</t>
  </si>
  <si>
    <t xml:space="preserve">Other profession than in a home country </t>
  </si>
  <si>
    <t>Not sure or any available job</t>
  </si>
  <si>
    <t>Сумма по полю Same profession as in a home country</t>
  </si>
  <si>
    <t>(пусто)</t>
  </si>
  <si>
    <t>No info</t>
  </si>
  <si>
    <t>N of respondents</t>
  </si>
  <si>
    <t>здесь было бы интересно посмотреть, какая часть из респондентов, выбравших ту же самую профессию, одновременно выбирали и неуверенность в стратегии поиска или одновременно с опцией другой карьерный трек.</t>
  </si>
  <si>
    <t xml:space="preserve">Recommendations </t>
  </si>
  <si>
    <t>Online rewiews and testimonials</t>
  </si>
  <si>
    <t>Website and clarity of info</t>
  </si>
  <si>
    <t>Services offered</t>
  </si>
  <si>
    <t>Cost of participation</t>
  </si>
  <si>
    <t>Accessibility</t>
  </si>
  <si>
    <t>yes</t>
  </si>
  <si>
    <t>no</t>
  </si>
  <si>
    <t>not sure</t>
  </si>
  <si>
    <t xml:space="preserve">
Individual sessions with a mentor</t>
  </si>
  <si>
    <t>Количество по полю What formats of assistance would you be willing to pay for?</t>
  </si>
  <si>
    <t>no/not sure</t>
  </si>
  <si>
    <t xml:space="preserve">подумать над визуализацией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</si>
</sst>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theme="4" tint="-0.249977111117893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8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3CEFB"/>
        <bgColor indexed="64"/>
      </patternFill>
    </fill>
  </fills>
  <borders count="35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/>
      <right/>
      <top/>
      <bottom style="thin">
        <color theme="4"/>
      </bottom>
      <diagonal/>
    </border>
    <border>
      <left style="thin">
        <color rgb="FF5B3F86"/>
      </left>
      <right style="thin">
        <color rgb="FF5B3F86"/>
      </right>
      <top/>
      <bottom style="thin">
        <color rgb="FF442F65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indexed="64"/>
      </left>
      <right style="thin">
        <color rgb="FF5B3F86"/>
      </right>
      <top style="medium">
        <color indexed="64"/>
      </top>
      <bottom style="thin">
        <color rgb="FF442F65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5B3F86"/>
      </right>
      <top style="thin">
        <color rgb="FF442F65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5B3F86"/>
      </left>
      <right style="medium">
        <color rgb="FF5B3F86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2" borderId="0" xfId="0" applyFill="1" applyAlignment="1">
      <alignment wrapText="1"/>
    </xf>
    <xf numFmtId="0" fontId="5" fillId="0" borderId="0" xfId="0" applyFont="1"/>
    <xf numFmtId="0" fontId="5" fillId="3" borderId="0" xfId="0" applyFont="1" applyFill="1"/>
    <xf numFmtId="0" fontId="5" fillId="3" borderId="12" xfId="0" applyFont="1" applyFill="1" applyBorder="1"/>
    <xf numFmtId="0" fontId="1" fillId="3" borderId="5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left" vertical="center" wrapText="1"/>
    </xf>
    <xf numFmtId="0" fontId="1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4" xfId="0" pivotButton="1" applyBorder="1"/>
    <xf numFmtId="0" fontId="0" fillId="0" borderId="18" xfId="0" applyBorder="1"/>
    <xf numFmtId="0" fontId="0" fillId="0" borderId="14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9" xfId="0" applyBorder="1"/>
    <xf numFmtId="0" fontId="0" fillId="0" borderId="21" xfId="0" applyBorder="1" applyAlignment="1">
      <alignment horizontal="left"/>
    </xf>
    <xf numFmtId="0" fontId="0" fillId="0" borderId="20" xfId="0" applyBorder="1"/>
    <xf numFmtId="0" fontId="0" fillId="0" borderId="22" xfId="0" applyBorder="1"/>
    <xf numFmtId="0" fontId="0" fillId="0" borderId="17" xfId="0" applyBorder="1"/>
    <xf numFmtId="0" fontId="0" fillId="0" borderId="23" xfId="0" applyBorder="1"/>
    <xf numFmtId="0" fontId="0" fillId="0" borderId="21" xfId="0" applyBorder="1"/>
    <xf numFmtId="0" fontId="0" fillId="0" borderId="24" xfId="0" applyBorder="1"/>
    <xf numFmtId="0" fontId="0" fillId="0" borderId="18" xfId="0" applyBorder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vertical="center"/>
    </xf>
    <xf numFmtId="0" fontId="1" fillId="3" borderId="25" xfId="0" applyFont="1" applyFill="1" applyBorder="1" applyAlignment="1">
      <alignment vertical="center"/>
    </xf>
    <xf numFmtId="0" fontId="7" fillId="0" borderId="0" xfId="0" applyFont="1" applyAlignment="1">
      <alignment horizontal="right"/>
    </xf>
    <xf numFmtId="0" fontId="1" fillId="3" borderId="5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1" fillId="3" borderId="11" xfId="0" applyFont="1" applyFill="1" applyBorder="1" applyAlignment="1">
      <alignment vertical="center" wrapText="1"/>
    </xf>
    <xf numFmtId="0" fontId="1" fillId="3" borderId="25" xfId="0" applyFont="1" applyFill="1" applyBorder="1" applyAlignment="1">
      <alignment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0" fillId="0" borderId="27" xfId="0" applyBorder="1"/>
    <xf numFmtId="0" fontId="2" fillId="2" borderId="28" xfId="0" applyFont="1" applyFill="1" applyBorder="1" applyAlignment="1">
      <alignment horizontal="left" vertical="center" wrapText="1"/>
    </xf>
    <xf numFmtId="0" fontId="0" fillId="0" borderId="29" xfId="0" applyBorder="1"/>
    <xf numFmtId="0" fontId="2" fillId="2" borderId="30" xfId="0" applyFont="1" applyFill="1" applyBorder="1" applyAlignment="1">
      <alignment horizontal="left" vertical="center" wrapText="1"/>
    </xf>
    <xf numFmtId="0" fontId="0" fillId="0" borderId="31" xfId="0" applyBorder="1"/>
    <xf numFmtId="0" fontId="6" fillId="0" borderId="32" xfId="0" applyFont="1" applyBorder="1" applyAlignment="1">
      <alignment wrapText="1"/>
    </xf>
    <xf numFmtId="0" fontId="7" fillId="0" borderId="33" xfId="0" applyFont="1" applyBorder="1" applyAlignment="1">
      <alignment wrapText="1"/>
    </xf>
    <xf numFmtId="0" fontId="7" fillId="4" borderId="34" xfId="0" applyFont="1" applyFill="1" applyBorder="1" applyAlignment="1">
      <alignment wrapText="1"/>
    </xf>
    <xf numFmtId="0" fontId="6" fillId="0" borderId="33" xfId="0" applyFont="1" applyBorder="1" applyAlignment="1">
      <alignment horizontal="right" wrapText="1"/>
    </xf>
    <xf numFmtId="0" fontId="2" fillId="2" borderId="13" xfId="0" applyFont="1" applyFill="1" applyBorder="1" applyAlignment="1">
      <alignment horizontal="left" vertical="center"/>
    </xf>
  </cellXfs>
  <cellStyles count="1">
    <cellStyle name="Обычный" xfId="0" builtinId="0"/>
  </cellStyles>
  <dxfs count="57">
    <dxf>
      <alignment wrapText="1"/>
    </dxf>
    <dxf>
      <alignment wrapText="1"/>
    </dxf>
    <dxf>
      <numFmt numFmtId="0" formatCode="General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442F65"/>
        </top>
      </border>
    </dxf>
    <dxf>
      <border outline="0">
        <bottom style="thin">
          <color rgb="FF442F6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/>
      <tableStyleElement type="headerRow" dxfId="56"/>
      <tableStyleElement type="firstRowStripe" dxfId="55"/>
      <tableStyleElement type="secondRowStripe" dxfId="54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[Survey_hwag.xlsx]dashboard!Сводная таблица3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distribution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2C-444C-BF4B-9EEFB6B593A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2C-444C-BF4B-9EEFB6B593A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2C-444C-BF4B-9EEFB6B593A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92C-444C-BF4B-9EEFB6B593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dashboard!$A$4:$A$8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50-60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F-448A-9E5D-A9CDF9748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011039"/>
        <c:axId val="810011999"/>
      </c:barChart>
      <c:catAx>
        <c:axId val="81001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011999"/>
        <c:crosses val="autoZero"/>
        <c:auto val="1"/>
        <c:lblAlgn val="ctr"/>
        <c:lblOffset val="100"/>
        <c:noMultiLvlLbl val="0"/>
      </c:catAx>
      <c:valAx>
        <c:axId val="8100119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00110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[Survey_hwag.xlsx]dashboard!Сводная таблица4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CCE-4210-9586-E3F4B378894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CE-4210-9586-E3F4B37889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dashboard!$A$11:$A$14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dashboard!$B$11:$B$14</c:f>
              <c:numCache>
                <c:formatCode>General</c:formatCode>
                <c:ptCount val="3"/>
                <c:pt idx="0">
                  <c:v>22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E-4210-9586-E3F4B3788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042239"/>
        <c:axId val="810046079"/>
      </c:barChart>
      <c:catAx>
        <c:axId val="81004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046079"/>
        <c:crosses val="autoZero"/>
        <c:auto val="1"/>
        <c:lblAlgn val="ctr"/>
        <c:lblOffset val="100"/>
        <c:noMultiLvlLbl val="0"/>
      </c:catAx>
      <c:valAx>
        <c:axId val="8100460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004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[Survey_hwag.xlsx]dashboard!Сводная таблица5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Living</a:t>
            </a:r>
            <a:r>
              <a:rPr lang="en-US" baseline="0"/>
              <a:t> in Denmark distribution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44-42BB-8B6A-AECFFA2257E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E44-42BB-8B6A-AECFFA2257E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44-42BB-8B6A-AECFFA2257E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E44-42BB-8B6A-AECFFA2257E0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44-42BB-8B6A-AECFFA2257E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44-42BB-8B6A-AECFFA2257E0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44-42BB-8B6A-AECFFA2257E0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E44-42BB-8B6A-AECFFA2257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dashboard!$A$17:$A$21</c:f>
              <c:strCache>
                <c:ptCount val="4"/>
                <c:pt idx="0">
                  <c:v>1 - 5 years</c:v>
                </c:pt>
                <c:pt idx="1">
                  <c:v>6 months - 1 year</c:v>
                </c:pt>
                <c:pt idx="2">
                  <c:v>Less than 6 months</c:v>
                </c:pt>
                <c:pt idx="3">
                  <c:v>More than 10 years</c:v>
                </c:pt>
              </c:strCache>
            </c:strRef>
          </c:cat>
          <c:val>
            <c:numRef>
              <c:f>dashboard!$B$17:$B$21</c:f>
              <c:numCache>
                <c:formatCode>General</c:formatCode>
                <c:ptCount val="4"/>
                <c:pt idx="0">
                  <c:v>19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4-42BB-8B6A-AECFFA225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025439"/>
        <c:axId val="810041759"/>
      </c:barChart>
      <c:catAx>
        <c:axId val="81002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041759"/>
        <c:crosses val="autoZero"/>
        <c:auto val="1"/>
        <c:lblAlgn val="ctr"/>
        <c:lblOffset val="100"/>
        <c:noMultiLvlLbl val="0"/>
      </c:catAx>
      <c:valAx>
        <c:axId val="810041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002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[Survey_hwag.xlsx]dashboard!Сводная таблица7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860979462875198"/>
              <c:y val="-1.75254118471784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7B2F15C-E116-4D1F-ABB8-CD4481614FF6}" type="CATEGORYNAME">
                  <a:rPr lang="en-US"/>
                  <a:pPr>
                    <a:defRPr/>
                  </a:pPr>
                  <a:t>[ИМЯ КАТЕГОРИИ]</a:t>
                </a:fld>
                <a:r>
                  <a:rPr lang="en-US" baseline="0"/>
                  <a:t>
</a:t>
                </a:r>
                <a:fld id="{3CB17C96-FC21-481C-B6B7-697495276EF1}" type="PERCENTAGE">
                  <a:rPr lang="en-US" sz="1400" b="1" baseline="0"/>
                  <a:pPr>
                    <a:defRPr/>
                  </a:pPr>
                  <a:t>[ПРОЦЕНТ]</a:t>
                </a:fld>
                <a:endParaRPr lang="en-US" baseline="0"/>
              </a:p>
            </c:rich>
          </c:tx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3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9241706161137437E-3"/>
              <c:y val="-0.15565422334630533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8C16C29-F78B-4DD9-94E1-40141207C9E1}" type="CATEGORYNAME">
                  <a:rPr lang="en-US"/>
                  <a:pPr>
                    <a:defRPr/>
                  </a:pPr>
                  <a:t>[ИМЯ КАТЕГОРИИ]</a:t>
                </a:fld>
                <a:r>
                  <a:rPr lang="en-US" baseline="0"/>
                  <a:t>
</a:t>
                </a:r>
                <a:fld id="{46FDE208-575C-4F84-A5E3-6374248173BE}" type="PERCENTAGE">
                  <a:rPr lang="en-US" sz="1200" b="1" baseline="0"/>
                  <a:pPr>
                    <a:defRPr/>
                  </a:pPr>
                  <a:t>[ПРОЦЕНТ]</a:t>
                </a:fld>
                <a:endParaRPr lang="en-US" baseline="0"/>
              </a:p>
            </c:rich>
          </c:tx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957345971563982"/>
              <c:y val="-0.13309671694764863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EB49F6A-C08D-4127-90CA-5F6F35CE4A14}" type="CATEGORYNAME">
                  <a:rPr lang="en-US"/>
                  <a:pPr>
                    <a:defRPr/>
                  </a:pPr>
                  <a:t>[ИМЯ КАТЕГОРИИ]</a:t>
                </a:fld>
                <a:r>
                  <a:rPr lang="en-US" baseline="0"/>
                  <a:t>
</a:t>
                </a:r>
                <a:fld id="{301589CA-91E9-45C5-9274-599872CD91C8}" type="PERCENTAGE">
                  <a:rPr lang="en-US" sz="1400" b="1" baseline="0"/>
                  <a:pPr>
                    <a:defRPr/>
                  </a:pPr>
                  <a:t>[ПРОЦЕНТ]</a:t>
                </a:fld>
                <a:endParaRPr lang="en-US" baseline="0"/>
              </a:p>
            </c:rich>
          </c:tx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3110609396574244"/>
                  <c:h val="0.16344113818070877"/>
                </c:manualLayout>
              </c15:layout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230647709320695"/>
              <c:y val="2.9577048210588475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8DF06A7-40ED-4AF1-9E6F-C7D50B9A8C97}" type="CATEGORYNAME">
                  <a:rPr lang="en-US"/>
                  <a:pPr>
                    <a:defRPr/>
                  </a:pPr>
                  <a:t>[ИМЯ КАТЕГОРИИ]</a:t>
                </a:fld>
                <a:r>
                  <a:rPr lang="en-US" baseline="0"/>
                  <a:t>
</a:t>
                </a:r>
                <a:fld id="{0D5C7020-320D-4BB9-8446-A70DF42A8206}" type="PERCENTAGE">
                  <a:rPr lang="en-US" sz="1600" b="1" baseline="0"/>
                  <a:pPr>
                    <a:defRPr/>
                  </a:pPr>
                  <a:t>[ПРОЦЕНТ]</a:t>
                </a:fld>
                <a:endParaRPr lang="en-US" baseline="0"/>
              </a:p>
            </c:rich>
          </c:tx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3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95734597156398"/>
              <c:y val="-6.8027210884353845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83157BF-96D6-4DBA-9715-1F7F15F87652}" type="CATEGORYNAME">
                  <a:rPr lang="en-US"/>
                  <a:pPr>
                    <a:defRPr/>
                  </a:pPr>
                  <a:t>[ИМЯ КАТЕГОРИИ]</a:t>
                </a:fld>
                <a:r>
                  <a:rPr lang="en-US" baseline="0"/>
                  <a:t>
</a:t>
                </a:r>
                <a:fld id="{4FD72D81-4F05-4F15-ADD3-990D93ABF3BA}" type="PERCENTAGE">
                  <a:rPr lang="en-US" sz="1200" b="1" baseline="0"/>
                  <a:pPr>
                    <a:defRPr/>
                  </a:pPr>
                  <a:t>[ПРОЦЕНТ]</a:t>
                </a:fld>
                <a:endParaRPr lang="en-US" baseline="0"/>
              </a:p>
            </c:rich>
          </c:tx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402843601895735"/>
              <c:y val="0.11830819284235433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D4E0798-015E-411D-8307-1FCF27284D86}" type="CATEGORYNAME">
                  <a:rPr lang="en-US"/>
                  <a:pPr>
                    <a:defRPr/>
                  </a:pPr>
                  <a:t>[ИМЯ КАТЕГОРИИ]</a:t>
                </a:fld>
                <a:r>
                  <a:rPr lang="en-US" baseline="0"/>
                  <a:t>
</a:t>
                </a:r>
                <a:fld id="{F184EC37-A0B5-4E1C-ACC5-42107AB7EFDF}" type="PERCENTAGE">
                  <a:rPr lang="en-US" sz="1200" b="1" baseline="0"/>
                  <a:pPr>
                    <a:defRPr/>
                  </a:pPr>
                  <a:t>[ПРОЦЕНТ]</a:t>
                </a:fld>
                <a:endParaRPr lang="en-US" baseline="0"/>
              </a:p>
            </c:rich>
          </c:tx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8166414772797949"/>
          <c:y val="0.21818825441850828"/>
          <c:w val="0.4153446903260315"/>
          <c:h val="0.73722590669857124"/>
        </c:manualLayout>
      </c:layout>
      <c:doughnutChart>
        <c:varyColors val="1"/>
        <c:ser>
          <c:idx val="0"/>
          <c:order val="0"/>
          <c:tx>
            <c:strRef>
              <c:f>dashboard!$B$31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E-4B49-B550-980D57E21332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A0E-4B49-B550-980D57E21332}"/>
              </c:ext>
            </c:extLst>
          </c:dPt>
          <c:dPt>
            <c:idx val="2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A0E-4B49-B550-980D57E21332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E-4B49-B550-980D57E21332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E-4B49-B550-980D57E21332}"/>
              </c:ext>
            </c:extLst>
          </c:dPt>
          <c:dPt>
            <c:idx val="5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A0E-4B49-B550-980D57E21332}"/>
              </c:ext>
            </c:extLst>
          </c:dPt>
          <c:dLbls>
            <c:dLbl>
              <c:idx val="0"/>
              <c:layout>
                <c:manualLayout>
                  <c:x val="5.9241706161137437E-3"/>
                  <c:y val="-0.15565422334630533"/>
                </c:manualLayout>
              </c:layout>
              <c:tx>
                <c:rich>
                  <a:bodyPr/>
                  <a:lstStyle/>
                  <a:p>
                    <a:fld id="{58C16C29-F78B-4DD9-94E1-40141207C9E1}" type="CATEGORYNAME">
                      <a:rPr lang="en-US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46FDE208-575C-4F84-A5E3-6374248173BE}" type="PERCENTAGE">
                      <a:rPr lang="en-US" sz="1200" b="1" baseline="0"/>
                      <a:pPr/>
                      <a:t>[ПРОЦЕНТ]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A0E-4B49-B550-980D57E21332}"/>
                </c:ext>
              </c:extLst>
            </c:dLbl>
            <c:dLbl>
              <c:idx val="1"/>
              <c:layout>
                <c:manualLayout>
                  <c:x val="0.18957345971563982"/>
                  <c:y val="-0.13309671694764863"/>
                </c:manualLayout>
              </c:layout>
              <c:tx>
                <c:rich>
                  <a:bodyPr/>
                  <a:lstStyle/>
                  <a:p>
                    <a:fld id="{5EB49F6A-C08D-4127-90CA-5F6F35CE4A14}" type="CATEGORYNAME">
                      <a:rPr lang="en-US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301589CA-91E9-45C5-9274-599872CD91C8}" type="PERCENTAGE">
                      <a:rPr lang="en-US" sz="1400" b="1" baseline="0"/>
                      <a:pPr/>
                      <a:t>[ПРОЦЕНТ]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10609396574244"/>
                      <c:h val="0.1634411381807087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A0E-4B49-B550-980D57E21332}"/>
                </c:ext>
              </c:extLst>
            </c:dLbl>
            <c:dLbl>
              <c:idx val="2"/>
              <c:layout>
                <c:manualLayout>
                  <c:x val="0.1895734597156398"/>
                  <c:y val="-6.8027210884353845E-2"/>
                </c:manualLayout>
              </c:layout>
              <c:tx>
                <c:rich>
                  <a:bodyPr/>
                  <a:lstStyle/>
                  <a:p>
                    <a:fld id="{083157BF-96D6-4DBA-9715-1F7F15F87652}" type="CATEGORYNAME">
                      <a:rPr lang="en-US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4FD72D81-4F05-4F15-ADD3-990D93ABF3BA}" type="PERCENTAGE">
                      <a:rPr lang="en-US" sz="1200" b="1" baseline="0"/>
                      <a:pPr/>
                      <a:t>[ПРОЦЕНТ]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A0E-4B49-B550-980D57E21332}"/>
                </c:ext>
              </c:extLst>
            </c:dLbl>
            <c:dLbl>
              <c:idx val="3"/>
              <c:layout>
                <c:manualLayout>
                  <c:x val="0.15402843601895735"/>
                  <c:y val="0.11830819284235433"/>
                </c:manualLayout>
              </c:layout>
              <c:tx>
                <c:rich>
                  <a:bodyPr/>
                  <a:lstStyle/>
                  <a:p>
                    <a:fld id="{CD4E0798-015E-411D-8307-1FCF27284D86}" type="CATEGORYNAME">
                      <a:rPr lang="en-US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F184EC37-A0B5-4E1C-ACC5-42107AB7EFDF}" type="PERCENTAGE">
                      <a:rPr lang="en-US" sz="1200" b="1" baseline="0"/>
                      <a:pPr/>
                      <a:t>[ПРОЦЕНТ]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1A0E-4B49-B550-980D57E21332}"/>
                </c:ext>
              </c:extLst>
            </c:dLbl>
            <c:dLbl>
              <c:idx val="4"/>
              <c:layout>
                <c:manualLayout>
                  <c:x val="-0.13230647709320695"/>
                  <c:y val="2.9577048210588475E-2"/>
                </c:manualLayout>
              </c:layout>
              <c:tx>
                <c:rich>
                  <a:bodyPr/>
                  <a:lstStyle/>
                  <a:p>
                    <a:fld id="{98DF06A7-40ED-4AF1-9E6F-C7D50B9A8C97}" type="CATEGORYNAME">
                      <a:rPr lang="en-US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0D5C7020-320D-4BB9-8446-A70DF42A8206}" type="PERCENTAGE">
                      <a:rPr lang="en-US" sz="1600" b="1" baseline="0"/>
                      <a:pPr/>
                      <a:t>[ПРОЦЕНТ]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A0E-4B49-B550-980D57E21332}"/>
                </c:ext>
              </c:extLst>
            </c:dLbl>
            <c:dLbl>
              <c:idx val="5"/>
              <c:layout>
                <c:manualLayout>
                  <c:x val="-0.10860979462875198"/>
                  <c:y val="-1.752541184717844E-2"/>
                </c:manualLayout>
              </c:layout>
              <c:tx>
                <c:rich>
                  <a:bodyPr/>
                  <a:lstStyle/>
                  <a:p>
                    <a:fld id="{C7B2F15C-E116-4D1F-ABB8-CD4481614FF6}" type="CATEGORYNAME">
                      <a:rPr lang="en-US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3CB17C96-FC21-481C-B6B7-697495276EF1}" type="PERCENTAGE">
                      <a:rPr lang="en-US" sz="1400" b="1" baseline="0"/>
                      <a:pPr/>
                      <a:t>[ПРОЦЕНТ]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A0E-4B49-B550-980D57E21332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dashboard!$A$32:$A$38</c:f>
              <c:strCache>
                <c:ptCount val="6"/>
                <c:pt idx="0">
                  <c:v>All of the mentioned above</c:v>
                </c:pt>
                <c:pt idx="1">
                  <c:v>Difficulty transferring previous experience/qualifications</c:v>
                </c:pt>
                <c:pt idx="2">
                  <c:v>Don't understand the reason of so many refuses</c:v>
                </c:pt>
                <c:pt idx="3">
                  <c:v>Lack of knowledge about the job market</c:v>
                </c:pt>
                <c:pt idx="4">
                  <c:v>Lack of local network/contacts</c:v>
                </c:pt>
                <c:pt idx="5">
                  <c:v>Language skills</c:v>
                </c:pt>
              </c:strCache>
            </c:strRef>
          </c:cat>
          <c:val>
            <c:numRef>
              <c:f>dashboard!$B$32:$B$38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1</c:v>
                </c:pt>
                <c:pt idx="3">
                  <c:v>2</c:v>
                </c:pt>
                <c:pt idx="4">
                  <c:v>13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E-4B49-B550-980D57E21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dashboard!$B$44</c:f>
              <c:strCache>
                <c:ptCount val="1"/>
                <c:pt idx="0">
                  <c:v>N of respondents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AF-4BE5-926F-DD38B78367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6AF-4BE5-926F-DD38B78367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AF-4BE5-926F-DD38B78367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dashboard!$A$45:$A$47</c:f>
              <c:strCache>
                <c:ptCount val="3"/>
                <c:pt idx="0">
                  <c:v>Same profession as in a home country</c:v>
                </c:pt>
                <c:pt idx="1">
                  <c:v>Not sure or any available job</c:v>
                </c:pt>
                <c:pt idx="2">
                  <c:v>Other profession than in a home country </c:v>
                </c:pt>
              </c:strCache>
            </c:strRef>
          </c:cat>
          <c:val>
            <c:numRef>
              <c:f>dashboard!$B$45:$B$47</c:f>
              <c:numCache>
                <c:formatCode>General</c:formatCode>
                <c:ptCount val="3"/>
                <c:pt idx="0">
                  <c:v>21</c:v>
                </c:pt>
                <c:pt idx="1">
                  <c:v>10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F-4BE5-926F-DD38B7836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135423"/>
        <c:axId val="880135903"/>
      </c:barChart>
      <c:catAx>
        <c:axId val="88013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0135903"/>
        <c:crosses val="autoZero"/>
        <c:auto val="1"/>
        <c:lblAlgn val="ctr"/>
        <c:lblOffset val="100"/>
        <c:noMultiLvlLbl val="0"/>
      </c:catAx>
      <c:valAx>
        <c:axId val="880135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8013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Priorities</a:t>
            </a:r>
            <a:r>
              <a:rPr lang="en-US" baseline="0"/>
              <a:t> in decision making towards helping organization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dashboard!$A$62:$A$67</c:f>
              <c:strCache>
                <c:ptCount val="6"/>
                <c:pt idx="0">
                  <c:v>Services offered</c:v>
                </c:pt>
                <c:pt idx="1">
                  <c:v>Recommendations </c:v>
                </c:pt>
                <c:pt idx="2">
                  <c:v>Accessibility</c:v>
                </c:pt>
                <c:pt idx="3">
                  <c:v>Website and clarity of info</c:v>
                </c:pt>
                <c:pt idx="4">
                  <c:v>Cost of participation</c:v>
                </c:pt>
                <c:pt idx="5">
                  <c:v>Online rewiews and testimonials</c:v>
                </c:pt>
              </c:strCache>
            </c:strRef>
          </c:cat>
          <c:val>
            <c:numRef>
              <c:f>dashboard!$B$62:$B$67</c:f>
              <c:numCache>
                <c:formatCode>General</c:formatCode>
                <c:ptCount val="6"/>
                <c:pt idx="0">
                  <c:v>19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14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3-4F75-A423-A15DF6CEE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130623"/>
        <c:axId val="880131103"/>
      </c:barChart>
      <c:catAx>
        <c:axId val="88013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0131103"/>
        <c:crosses val="autoZero"/>
        <c:auto val="1"/>
        <c:lblAlgn val="ctr"/>
        <c:lblOffset val="100"/>
        <c:noMultiLvlLbl val="0"/>
      </c:catAx>
      <c:valAx>
        <c:axId val="880131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8013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</a:t>
            </a:r>
            <a:r>
              <a:rPr lang="en-US" baseline="0"/>
              <a:t> opinion about usefulness of different types of help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dashboard!$B$74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dashboard!$A$75:$A$78</c:f>
              <c:strCache>
                <c:ptCount val="4"/>
                <c:pt idx="0">
                  <c:v>
Individual sessions with a mentor</c:v>
                </c:pt>
                <c:pt idx="1">
                  <c:v>Group sessions with a mentor</c:v>
                </c:pt>
                <c:pt idx="2">
                  <c:v>A specific toolkit to work on your own (book with worksheets and/or workbook) with a feedback</c:v>
                </c:pt>
                <c:pt idx="3">
                  <c:v>A free unsupervised community (e.g., an online group)</c:v>
                </c:pt>
              </c:strCache>
            </c:strRef>
          </c:cat>
          <c:val>
            <c:numRef>
              <c:f>dashboard!$B$75:$B$78</c:f>
              <c:numCache>
                <c:formatCode>General</c:formatCode>
                <c:ptCount val="4"/>
                <c:pt idx="0">
                  <c:v>23</c:v>
                </c:pt>
                <c:pt idx="1">
                  <c:v>18</c:v>
                </c:pt>
                <c:pt idx="2">
                  <c:v>16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D-4515-BB07-3F892D92D6BC}"/>
            </c:ext>
          </c:extLst>
        </c:ser>
        <c:ser>
          <c:idx val="1"/>
          <c:order val="1"/>
          <c:tx>
            <c:strRef>
              <c:f>dashboard!$C$74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dashboard!$A$75:$A$78</c:f>
              <c:strCache>
                <c:ptCount val="4"/>
                <c:pt idx="0">
                  <c:v>
Individual sessions with a mentor</c:v>
                </c:pt>
                <c:pt idx="1">
                  <c:v>Group sessions with a mentor</c:v>
                </c:pt>
                <c:pt idx="2">
                  <c:v>A specific toolkit to work on your own (book with worksheets and/or workbook) with a feedback</c:v>
                </c:pt>
                <c:pt idx="3">
                  <c:v>A free unsupervised community (e.g., an online group)</c:v>
                </c:pt>
              </c:strCache>
            </c:strRef>
          </c:cat>
          <c:val>
            <c:numRef>
              <c:f>dashboard!$C$75:$C$78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2D-4515-BB07-3F892D92D6BC}"/>
            </c:ext>
          </c:extLst>
        </c:ser>
        <c:ser>
          <c:idx val="2"/>
          <c:order val="2"/>
          <c:tx>
            <c:strRef>
              <c:f>dashboard!$D$74</c:f>
              <c:strCache>
                <c:ptCount val="1"/>
                <c:pt idx="0">
                  <c:v>not sure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dashboard!$A$75:$A$78</c:f>
              <c:strCache>
                <c:ptCount val="4"/>
                <c:pt idx="0">
                  <c:v>
Individual sessions with a mentor</c:v>
                </c:pt>
                <c:pt idx="1">
                  <c:v>Group sessions with a mentor</c:v>
                </c:pt>
                <c:pt idx="2">
                  <c:v>A specific toolkit to work on your own (book with worksheets and/or workbook) with a feedback</c:v>
                </c:pt>
                <c:pt idx="3">
                  <c:v>A free unsupervised community (e.g., an online group)</c:v>
                </c:pt>
              </c:strCache>
            </c:strRef>
          </c:cat>
          <c:val>
            <c:numRef>
              <c:f>dashboard!$D$75:$D$78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11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2D-4515-BB07-3F892D92D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0031199"/>
        <c:axId val="810038399"/>
      </c:barChart>
      <c:catAx>
        <c:axId val="81003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038399"/>
        <c:crosses val="autoZero"/>
        <c:auto val="1"/>
        <c:lblAlgn val="ctr"/>
        <c:lblOffset val="100"/>
        <c:noMultiLvlLbl val="0"/>
      </c:catAx>
      <c:valAx>
        <c:axId val="81003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03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dashboard!$B$80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dashboard!$A$81:$A$84</c:f>
              <c:strCache>
                <c:ptCount val="4"/>
                <c:pt idx="0">
                  <c:v>
Individual sessions with a mentor</c:v>
                </c:pt>
                <c:pt idx="1">
                  <c:v>Group sessions with a mentor</c:v>
                </c:pt>
                <c:pt idx="2">
                  <c:v>A specific toolkit to work on your own (book with worksheets and/or workbook) with a feedback</c:v>
                </c:pt>
                <c:pt idx="3">
                  <c:v>A free unsupervised community (e.g., an online group)</c:v>
                </c:pt>
              </c:strCache>
            </c:strRef>
          </c:cat>
          <c:val>
            <c:numRef>
              <c:f>dashboard!$B$81:$B$84</c:f>
              <c:numCache>
                <c:formatCode>General</c:formatCode>
                <c:ptCount val="4"/>
                <c:pt idx="0">
                  <c:v>23</c:v>
                </c:pt>
                <c:pt idx="1">
                  <c:v>18</c:v>
                </c:pt>
                <c:pt idx="2">
                  <c:v>16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1-444C-B6DF-613AF92BA90C}"/>
            </c:ext>
          </c:extLst>
        </c:ser>
        <c:ser>
          <c:idx val="1"/>
          <c:order val="1"/>
          <c:tx>
            <c:strRef>
              <c:f>dashboard!$C$80</c:f>
              <c:strCache>
                <c:ptCount val="1"/>
                <c:pt idx="0">
                  <c:v>no/not sure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dashboard!$A$81:$A$84</c:f>
              <c:strCache>
                <c:ptCount val="4"/>
                <c:pt idx="0">
                  <c:v>
Individual sessions with a mentor</c:v>
                </c:pt>
                <c:pt idx="1">
                  <c:v>Group sessions with a mentor</c:v>
                </c:pt>
                <c:pt idx="2">
                  <c:v>A specific toolkit to work on your own (book with worksheets and/or workbook) with a feedback</c:v>
                </c:pt>
                <c:pt idx="3">
                  <c:v>A free unsupervised community (e.g., an online group)</c:v>
                </c:pt>
              </c:strCache>
            </c:strRef>
          </c:cat>
          <c:val>
            <c:numRef>
              <c:f>dashboard!$C$81:$C$84</c:f>
              <c:numCache>
                <c:formatCode>General</c:formatCode>
                <c:ptCount val="4"/>
                <c:pt idx="0">
                  <c:v>7</c:v>
                </c:pt>
                <c:pt idx="1">
                  <c:v>12</c:v>
                </c:pt>
                <c:pt idx="2">
                  <c:v>14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1-444C-B6DF-613AF92BA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9011743"/>
        <c:axId val="779003583"/>
      </c:barChart>
      <c:catAx>
        <c:axId val="77901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9003583"/>
        <c:crosses val="autoZero"/>
        <c:auto val="1"/>
        <c:lblAlgn val="ctr"/>
        <c:lblOffset val="100"/>
        <c:noMultiLvlLbl val="0"/>
      </c:catAx>
      <c:valAx>
        <c:axId val="77900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901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11430</xdr:rowOff>
    </xdr:from>
    <xdr:to>
      <xdr:col>6</xdr:col>
      <xdr:colOff>746760</xdr:colOff>
      <xdr:row>21</xdr:row>
      <xdr:rowOff>99060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967B722-57DC-A337-F9C9-40BF22209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</xdr:colOff>
      <xdr:row>1</xdr:row>
      <xdr:rowOff>163830</xdr:rowOff>
    </xdr:from>
    <xdr:to>
      <xdr:col>16</xdr:col>
      <xdr:colOff>236220</xdr:colOff>
      <xdr:row>20</xdr:row>
      <xdr:rowOff>144780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BD26E20-4D1C-8C07-16C9-936915398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60960</xdr:colOff>
      <xdr:row>2</xdr:row>
      <xdr:rowOff>3810</xdr:rowOff>
    </xdr:from>
    <xdr:to>
      <xdr:col>24</xdr:col>
      <xdr:colOff>365760</xdr:colOff>
      <xdr:row>20</xdr:row>
      <xdr:rowOff>137160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7EEFF9E-262B-9B95-EE86-B67392754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342900</xdr:colOff>
      <xdr:row>22</xdr:row>
      <xdr:rowOff>3810</xdr:rowOff>
    </xdr:from>
    <xdr:to>
      <xdr:col>12</xdr:col>
      <xdr:colOff>495300</xdr:colOff>
      <xdr:row>46</xdr:row>
      <xdr:rowOff>106680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9573904-8F69-2734-71EF-D97EA68DE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30480</xdr:colOff>
      <xdr:row>42</xdr:row>
      <xdr:rowOff>148590</xdr:rowOff>
    </xdr:from>
    <xdr:to>
      <xdr:col>4</xdr:col>
      <xdr:colOff>1394460</xdr:colOff>
      <xdr:row>59</xdr:row>
      <xdr:rowOff>41910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A3C7F48-08CA-B3E2-BF7C-70E3EEFCD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45720</xdr:colOff>
      <xdr:row>60</xdr:row>
      <xdr:rowOff>156210</xdr:rowOff>
    </xdr:from>
    <xdr:to>
      <xdr:col>5</xdr:col>
      <xdr:colOff>2362200</xdr:colOff>
      <xdr:row>73</xdr:row>
      <xdr:rowOff>152400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E5192262-652E-81F0-A305-8A85778EA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73</xdr:row>
      <xdr:rowOff>163830</xdr:rowOff>
    </xdr:from>
    <xdr:to>
      <xdr:col>6</xdr:col>
      <xdr:colOff>1043940</xdr:colOff>
      <xdr:row>78</xdr:row>
      <xdr:rowOff>22860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DED13B2F-F09E-1D75-04FE-0CAAAE077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1013460</xdr:colOff>
      <xdr:row>78</xdr:row>
      <xdr:rowOff>171450</xdr:rowOff>
    </xdr:from>
    <xdr:to>
      <xdr:col>6</xdr:col>
      <xdr:colOff>2377440</xdr:colOff>
      <xdr:row>92</xdr:row>
      <xdr:rowOff>45720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C46B8535-22DC-926F-F65F-6A0E005CC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аша Ивченко" refreshedDate="45957.619153125001" createdVersion="8" refreshedVersion="8" minRefreshableVersion="3" recordCount="30" xr:uid="{77D79E5A-D42E-40ED-BEDE-F476A951B749}">
  <cacheSource type="worksheet">
    <worksheetSource name="Таблица3"/>
  </cacheSource>
  <cacheFields count="17">
    <cacheField name="What’s your age?" numFmtId="0">
      <sharedItems containsSemiMixedTypes="0" containsString="0" containsNumber="1" containsInteger="1" minValue="23" maxValue="55" count="19">
        <n v="52"/>
        <n v="26"/>
        <n v="27"/>
        <n v="29"/>
        <n v="25"/>
        <n v="54"/>
        <n v="30"/>
        <n v="35"/>
        <n v="38"/>
        <n v="43"/>
        <n v="34"/>
        <n v="32"/>
        <n v="45"/>
        <n v="31"/>
        <n v="55"/>
        <n v="44"/>
        <n v="37"/>
        <n v="36"/>
        <n v="23"/>
      </sharedItems>
      <fieldGroup base="0">
        <rangePr autoStart="0" autoEnd="0" startNum="20" endNum="60" groupInterval="10"/>
        <groupItems count="6">
          <s v="&lt;20"/>
          <s v="20-29"/>
          <s v="30-39"/>
          <s v="40-49"/>
          <s v="50-60"/>
          <s v="&gt;60"/>
        </groupItems>
      </fieldGroup>
    </cacheField>
    <cacheField name="Please select your gender" numFmtId="0">
      <sharedItems count="3">
        <s v="Female"/>
        <s v="Male"/>
        <s v="Non-binary"/>
      </sharedItems>
    </cacheField>
    <cacheField name="How long have you been living in Denmark?" numFmtId="0">
      <sharedItems count="4">
        <s v="More than 10 years"/>
        <s v="Less than 6 months"/>
        <s v="1 - 5 years"/>
        <s v="6 months - 1 year"/>
      </sharedItems>
    </cacheField>
    <cacheField name="Do you feel you need support in your job search?" numFmtId="0">
      <sharedItems count="3">
        <s v="Yes"/>
        <s v="I am not sure..."/>
        <s v="No"/>
      </sharedItems>
    </cacheField>
    <cacheField name="What is the main barrier you face in your job search in Denmark? (Select only one)" numFmtId="0">
      <sharedItems count="6">
        <s v="Difficulty transferring previous experience/qualifications"/>
        <s v="Lack of local network/contacts"/>
        <s v="Lack of knowledge about the job market"/>
        <s v="Language skills"/>
        <s v="All of the mentioned above"/>
        <s v="Don't understand the reason of so many refuses"/>
      </sharedItems>
    </cacheField>
    <cacheField name="What type of job are you primarily seeking?" numFmtId="0">
      <sharedItems count="9">
        <s v="I’m not sure yet"/>
        <s v="Same profession as in your home country, Any available job"/>
        <s v="Same profession as in your home country"/>
        <s v="Same profession as in your home country, Other profession than in your home country, Any available job"/>
        <s v="Other profession than in your home country, Any available job"/>
        <s v="Other profession than in your home country"/>
        <s v="Same profession as in your home country, Other profession than in your home country, Any available job, Job related to your partner’s field"/>
        <s v="Same profession as in your home country, Other profession than in your home country"/>
        <s v="Any available job"/>
      </sharedItems>
    </cacheField>
    <cacheField name="Same profession as in a home country" numFmtId="0">
      <sharedItems containsSemiMixedTypes="0" containsString="0" containsNumber="1" containsInteger="1" minValue="0" maxValue="1" count="2">
        <n v="0"/>
        <n v="1"/>
      </sharedItems>
    </cacheField>
    <cacheField name="Other profession than in a home country " numFmtId="0">
      <sharedItems containsSemiMixedTypes="0" containsString="0" containsNumber="1" containsInteger="1" minValue="0" maxValue="1" count="2">
        <n v="0"/>
        <n v="1"/>
      </sharedItems>
    </cacheField>
    <cacheField name="Not sure or any available job" numFmtId="0">
      <sharedItems containsMixedTypes="1" containsNumber="1" containsInteger="1" minValue="0" maxValue="1" count="3">
        <n v="0"/>
        <n v="1"/>
        <e v="#REF!"/>
      </sharedItems>
    </cacheField>
    <cacheField name="There are many organisations that help newcomers adjust after their relocation. _x000a_When choosing an organisation to help you settle after relocation, which factors matter most? (Select up to 3)" numFmtId="0">
      <sharedItems containsBlank="1" count="24" longText="1">
        <s v="Website and clarity of information provided, Services offered (types of programs, events, mentoring, etc.), Cost of participation, Accessibility (location, online/offline, opening hours)"/>
        <s v="Recommendations from friends/other expats, Online reviews/testimonials"/>
        <s v="Recommendations from friends/other expats, Website and clarity of information provided, Cost of participation"/>
        <s v="Recommendations from friends/other expats, Services offered (types of programs, events, mentoring, etc.)"/>
        <s v="Website and clarity of information provided, Services offered (types of programs, events, mentoring, etc.), Accessibility (location, online/offline, opening hours)"/>
        <s v="Recommendations from friends/other expats, Online reviews/testimonials, Services offered (types of programs, events, mentoring, etc.), Accessibility (location, online/offline, opening hours)"/>
        <s v="Recommendations from friends/other expats, Online reviews/testimonials, Website and clarity of information provided, Services offered (types of programs, events, mentoring, etc.), Cost of participation, Accessibility (location, online/offline, opening hours)"/>
        <s v="Services offered (types of programs, events, mentoring, etc.), Cost of participation"/>
        <s v="Website and clarity of information provided, Cost of participation, Accessibility (location, online/offline, opening hours)"/>
        <s v="Recommendations from friends/other expats, Cost of participation"/>
        <s v="Online reviews/testimonials, Website and clarity of information provided, Services offered (types of programs, events, mentoring, etc.)"/>
        <s v="Recommendations from friends/other expats, Services offered (types of programs, events, mentoring, etc.), Cost of participation"/>
        <s v="Recommendations from friends/other expats, Services offered (types of programs, events, mentoring, etc.), Accessibility (location, online/offline, opening hours)"/>
        <s v="Online reviews/testimonials, Services offered (types of programs, events, mentoring, etc.), Cost of participation"/>
        <s v="Recommendations from friends/other expats, Website and clarity of information provided, Services offered (types of programs, events, mentoring, etc.), Cost of participation, Accessibility (location, online/offline, opening hours)"/>
        <s v="Website and clarity of information provided"/>
        <s v="Online reviews/testimonials, Website and clarity of information provided, Services offered (types of programs, events, mentoring, etc.), Cost of participation, Accessibility (location, online/offline, opening hours)"/>
        <s v="Online reviews/testimonials, Website and clarity of information provided, Cost of participation"/>
        <s v="Recommendations from friends/other expats, Online reviews/testimonials, Website and clarity of information provided, Services offered (types of programs, events, mentoring, etc.), Accessibility (location, online/offline, opening hours)"/>
        <s v="Website and clarity of information provided, Services offered (types of programs, events, mentoring, etc.), Cost of participation"/>
        <s v="Recommendations from friends/other expats, Accessibility (location, online/offline, opening hours)"/>
        <m/>
        <s v="Recommendations from friends/other expats, Online reviews/testimonials, Accessibility (location, online/offline, opening hours)"/>
        <s v="Recommendations from friends/other expats"/>
      </sharedItems>
    </cacheField>
    <cacheField name="Individual sessions with a mentor" numFmtId="0">
      <sharedItems count="3">
        <s v="Yes"/>
        <s v="Not sure"/>
        <s v="No"/>
      </sharedItems>
    </cacheField>
    <cacheField name="Group sessions with a mentor" numFmtId="0">
      <sharedItems count="3">
        <s v="Yes"/>
        <s v="Not sure"/>
        <s v="No"/>
      </sharedItems>
    </cacheField>
    <cacheField name="A specific toolkit to work on your own (book with worksheets and/or workbook) with a feedback" numFmtId="0">
      <sharedItems count="3">
        <s v="Yes"/>
        <s v="Not sure"/>
        <s v="No"/>
      </sharedItems>
    </cacheField>
    <cacheField name="A free unsupervised community (e.g., an online group)" numFmtId="0">
      <sharedItems/>
    </cacheField>
    <cacheField name="If you know of other effective formats for job searching, please list them here:" numFmtId="0">
      <sharedItems containsBlank="1"/>
    </cacheField>
    <cacheField name="What formats of assistance would you be willing to pay for?" numFmtId="0">
      <sharedItems count="4">
        <s v="Monthly individual sessions with a mentor"/>
        <s v="Not ready to pay at all"/>
        <s v="A specific methodology to work on your own, step by step, with comments from tutor"/>
        <s v="List of expat-friendly vacancies or refferals"/>
      </sharedItems>
    </cacheField>
    <cacheField name="How much would you be willing to pay per month for help with finding a job and adapting to a new country?" numFmtId="0">
      <sharedItems containsBlank="1" count="3">
        <s v="Would prefer to pay for the product, not for a subscription"/>
        <m/>
        <s v="10-15 €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  <x v="0"/>
    <x v="0"/>
    <x v="0"/>
    <x v="0"/>
    <x v="0"/>
    <x v="0"/>
    <x v="0"/>
    <x v="0"/>
    <x v="0"/>
    <s v="Yes"/>
    <m/>
    <x v="0"/>
    <x v="0"/>
  </r>
  <r>
    <x v="1"/>
    <x v="0"/>
    <x v="1"/>
    <x v="1"/>
    <x v="1"/>
    <x v="1"/>
    <x v="0"/>
    <x v="0"/>
    <x v="1"/>
    <x v="1"/>
    <x v="1"/>
    <x v="1"/>
    <x v="1"/>
    <s v="Yes"/>
    <m/>
    <x v="1"/>
    <x v="1"/>
  </r>
  <r>
    <x v="2"/>
    <x v="0"/>
    <x v="2"/>
    <x v="0"/>
    <x v="1"/>
    <x v="2"/>
    <x v="1"/>
    <x v="0"/>
    <x v="1"/>
    <x v="2"/>
    <x v="0"/>
    <x v="0"/>
    <x v="1"/>
    <s v="Not sure"/>
    <m/>
    <x v="1"/>
    <x v="1"/>
  </r>
  <r>
    <x v="3"/>
    <x v="0"/>
    <x v="2"/>
    <x v="0"/>
    <x v="0"/>
    <x v="2"/>
    <x v="1"/>
    <x v="0"/>
    <x v="0"/>
    <x v="3"/>
    <x v="0"/>
    <x v="0"/>
    <x v="0"/>
    <s v="Yes"/>
    <m/>
    <x v="2"/>
    <x v="0"/>
  </r>
  <r>
    <x v="4"/>
    <x v="1"/>
    <x v="3"/>
    <x v="0"/>
    <x v="2"/>
    <x v="2"/>
    <x v="1"/>
    <x v="0"/>
    <x v="0"/>
    <x v="4"/>
    <x v="0"/>
    <x v="0"/>
    <x v="0"/>
    <s v="No"/>
    <m/>
    <x v="1"/>
    <x v="1"/>
  </r>
  <r>
    <x v="5"/>
    <x v="0"/>
    <x v="2"/>
    <x v="0"/>
    <x v="3"/>
    <x v="2"/>
    <x v="1"/>
    <x v="0"/>
    <x v="0"/>
    <x v="5"/>
    <x v="0"/>
    <x v="2"/>
    <x v="0"/>
    <s v="Yes"/>
    <m/>
    <x v="0"/>
    <x v="0"/>
  </r>
  <r>
    <x v="6"/>
    <x v="2"/>
    <x v="3"/>
    <x v="0"/>
    <x v="0"/>
    <x v="3"/>
    <x v="0"/>
    <x v="0"/>
    <x v="0"/>
    <x v="6"/>
    <x v="0"/>
    <x v="0"/>
    <x v="0"/>
    <s v="Yes"/>
    <s v="Professional fares"/>
    <x v="1"/>
    <x v="1"/>
  </r>
  <r>
    <x v="7"/>
    <x v="1"/>
    <x v="1"/>
    <x v="1"/>
    <x v="1"/>
    <x v="2"/>
    <x v="1"/>
    <x v="0"/>
    <x v="1"/>
    <x v="7"/>
    <x v="0"/>
    <x v="1"/>
    <x v="0"/>
    <s v="Yes"/>
    <m/>
    <x v="0"/>
    <x v="2"/>
  </r>
  <r>
    <x v="1"/>
    <x v="1"/>
    <x v="1"/>
    <x v="0"/>
    <x v="0"/>
    <x v="1"/>
    <x v="0"/>
    <x v="0"/>
    <x v="0"/>
    <x v="8"/>
    <x v="0"/>
    <x v="0"/>
    <x v="1"/>
    <s v="Yes"/>
    <m/>
    <x v="0"/>
    <x v="0"/>
  </r>
  <r>
    <x v="8"/>
    <x v="1"/>
    <x v="2"/>
    <x v="0"/>
    <x v="1"/>
    <x v="4"/>
    <x v="0"/>
    <x v="0"/>
    <x v="1"/>
    <x v="9"/>
    <x v="0"/>
    <x v="0"/>
    <x v="0"/>
    <s v="No"/>
    <m/>
    <x v="1"/>
    <x v="1"/>
  </r>
  <r>
    <x v="9"/>
    <x v="0"/>
    <x v="3"/>
    <x v="0"/>
    <x v="3"/>
    <x v="2"/>
    <x v="1"/>
    <x v="0"/>
    <x v="1"/>
    <x v="10"/>
    <x v="0"/>
    <x v="0"/>
    <x v="0"/>
    <s v="Not sure"/>
    <s v="List of companies that would consider hiring expats."/>
    <x v="2"/>
    <x v="0"/>
  </r>
  <r>
    <x v="6"/>
    <x v="0"/>
    <x v="2"/>
    <x v="0"/>
    <x v="1"/>
    <x v="5"/>
    <x v="0"/>
    <x v="1"/>
    <x v="0"/>
    <x v="11"/>
    <x v="1"/>
    <x v="1"/>
    <x v="0"/>
    <s v="Yes"/>
    <m/>
    <x v="1"/>
    <x v="1"/>
  </r>
  <r>
    <x v="10"/>
    <x v="0"/>
    <x v="2"/>
    <x v="0"/>
    <x v="2"/>
    <x v="2"/>
    <x v="1"/>
    <x v="0"/>
    <x v="0"/>
    <x v="12"/>
    <x v="0"/>
    <x v="2"/>
    <x v="2"/>
    <s v="Yes"/>
    <s v="Apply all vacation even they are not 100 % in your field"/>
    <x v="1"/>
    <x v="1"/>
  </r>
  <r>
    <x v="11"/>
    <x v="0"/>
    <x v="2"/>
    <x v="0"/>
    <x v="1"/>
    <x v="2"/>
    <x v="1"/>
    <x v="0"/>
    <x v="0"/>
    <x v="13"/>
    <x v="0"/>
    <x v="0"/>
    <x v="1"/>
    <s v="Yes"/>
    <m/>
    <x v="3"/>
    <x v="2"/>
  </r>
  <r>
    <x v="7"/>
    <x v="0"/>
    <x v="2"/>
    <x v="0"/>
    <x v="1"/>
    <x v="2"/>
    <x v="1"/>
    <x v="0"/>
    <x v="0"/>
    <x v="14"/>
    <x v="0"/>
    <x v="0"/>
    <x v="1"/>
    <s v="Yes"/>
    <m/>
    <x v="0"/>
    <x v="0"/>
  </r>
  <r>
    <x v="12"/>
    <x v="0"/>
    <x v="2"/>
    <x v="0"/>
    <x v="3"/>
    <x v="1"/>
    <x v="0"/>
    <x v="0"/>
    <x v="0"/>
    <x v="4"/>
    <x v="0"/>
    <x v="0"/>
    <x v="0"/>
    <s v="Yes"/>
    <m/>
    <x v="0"/>
    <x v="0"/>
  </r>
  <r>
    <x v="8"/>
    <x v="1"/>
    <x v="0"/>
    <x v="2"/>
    <x v="1"/>
    <x v="5"/>
    <x v="0"/>
    <x v="1"/>
    <x v="1"/>
    <x v="15"/>
    <x v="0"/>
    <x v="1"/>
    <x v="2"/>
    <s v="Yes"/>
    <m/>
    <x v="0"/>
    <x v="0"/>
  </r>
  <r>
    <x v="12"/>
    <x v="0"/>
    <x v="2"/>
    <x v="0"/>
    <x v="0"/>
    <x v="6"/>
    <x v="0"/>
    <x v="0"/>
    <x v="0"/>
    <x v="16"/>
    <x v="0"/>
    <x v="1"/>
    <x v="0"/>
    <s v="Yes"/>
    <m/>
    <x v="1"/>
    <x v="1"/>
  </r>
  <r>
    <x v="7"/>
    <x v="0"/>
    <x v="2"/>
    <x v="0"/>
    <x v="4"/>
    <x v="7"/>
    <x v="0"/>
    <x v="0"/>
    <x v="1"/>
    <x v="17"/>
    <x v="0"/>
    <x v="0"/>
    <x v="1"/>
    <s v="No"/>
    <m/>
    <x v="0"/>
    <x v="0"/>
  </r>
  <r>
    <x v="13"/>
    <x v="0"/>
    <x v="2"/>
    <x v="0"/>
    <x v="5"/>
    <x v="2"/>
    <x v="1"/>
    <x v="0"/>
    <x v="1"/>
    <x v="18"/>
    <x v="0"/>
    <x v="0"/>
    <x v="1"/>
    <s v="Not sure"/>
    <m/>
    <x v="1"/>
    <x v="1"/>
  </r>
  <r>
    <x v="14"/>
    <x v="0"/>
    <x v="2"/>
    <x v="1"/>
    <x v="1"/>
    <x v="2"/>
    <x v="1"/>
    <x v="0"/>
    <x v="0"/>
    <x v="19"/>
    <x v="0"/>
    <x v="2"/>
    <x v="0"/>
    <s v="No"/>
    <m/>
    <x v="2"/>
    <x v="2"/>
  </r>
  <r>
    <x v="7"/>
    <x v="0"/>
    <x v="2"/>
    <x v="0"/>
    <x v="1"/>
    <x v="2"/>
    <x v="1"/>
    <x v="0"/>
    <x v="0"/>
    <x v="20"/>
    <x v="2"/>
    <x v="2"/>
    <x v="0"/>
    <s v="No"/>
    <m/>
    <x v="2"/>
    <x v="0"/>
  </r>
  <r>
    <x v="15"/>
    <x v="0"/>
    <x v="0"/>
    <x v="0"/>
    <x v="0"/>
    <x v="5"/>
    <x v="0"/>
    <x v="1"/>
    <x v="2"/>
    <x v="21"/>
    <x v="1"/>
    <x v="1"/>
    <x v="1"/>
    <s v="Not sure"/>
    <m/>
    <x v="1"/>
    <x v="1"/>
  </r>
  <r>
    <x v="7"/>
    <x v="0"/>
    <x v="2"/>
    <x v="0"/>
    <x v="1"/>
    <x v="5"/>
    <x v="0"/>
    <x v="1"/>
    <x v="0"/>
    <x v="0"/>
    <x v="0"/>
    <x v="0"/>
    <x v="2"/>
    <s v="Yes"/>
    <m/>
    <x v="2"/>
    <x v="0"/>
  </r>
  <r>
    <x v="16"/>
    <x v="0"/>
    <x v="1"/>
    <x v="0"/>
    <x v="3"/>
    <x v="8"/>
    <x v="0"/>
    <x v="0"/>
    <x v="0"/>
    <x v="22"/>
    <x v="0"/>
    <x v="0"/>
    <x v="0"/>
    <s v="No"/>
    <m/>
    <x v="1"/>
    <x v="1"/>
  </r>
  <r>
    <x v="4"/>
    <x v="1"/>
    <x v="2"/>
    <x v="0"/>
    <x v="3"/>
    <x v="2"/>
    <x v="1"/>
    <x v="0"/>
    <x v="1"/>
    <x v="23"/>
    <x v="1"/>
    <x v="0"/>
    <x v="0"/>
    <s v="Not sure"/>
    <m/>
    <x v="1"/>
    <x v="1"/>
  </r>
  <r>
    <x v="7"/>
    <x v="0"/>
    <x v="0"/>
    <x v="1"/>
    <x v="3"/>
    <x v="0"/>
    <x v="0"/>
    <x v="0"/>
    <x v="0"/>
    <x v="15"/>
    <x v="1"/>
    <x v="2"/>
    <x v="1"/>
    <s v="No"/>
    <m/>
    <x v="1"/>
    <x v="1"/>
  </r>
  <r>
    <x v="17"/>
    <x v="1"/>
    <x v="2"/>
    <x v="2"/>
    <x v="0"/>
    <x v="2"/>
    <x v="1"/>
    <x v="0"/>
    <x v="1"/>
    <x v="3"/>
    <x v="1"/>
    <x v="1"/>
    <x v="1"/>
    <s v="Yes"/>
    <m/>
    <x v="1"/>
    <x v="1"/>
  </r>
  <r>
    <x v="18"/>
    <x v="0"/>
    <x v="2"/>
    <x v="0"/>
    <x v="1"/>
    <x v="2"/>
    <x v="1"/>
    <x v="0"/>
    <x v="0"/>
    <x v="11"/>
    <x v="0"/>
    <x v="0"/>
    <x v="0"/>
    <s v="Not sure"/>
    <m/>
    <x v="2"/>
    <x v="2"/>
  </r>
  <r>
    <x v="1"/>
    <x v="0"/>
    <x v="2"/>
    <x v="0"/>
    <x v="1"/>
    <x v="5"/>
    <x v="0"/>
    <x v="1"/>
    <x v="0"/>
    <x v="17"/>
    <x v="0"/>
    <x v="0"/>
    <x v="1"/>
    <s v="Yes"/>
    <m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53D8D-54E9-42C0-ACEE-B9C59E5624E7}" name="Сводная таблица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6">
  <location ref="A23:E29" firstHeaderRow="1" firstDataRow="2" firstDataCol="1"/>
  <pivotFields count="17"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Col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Количество по полю Do you feel you need support in your job search?" fld="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D3DCB-FDD2-4B4A-85C8-C2DBF07CF2D6}" name="Сводная таблица5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6">
  <location ref="A16:B21" firstHeaderRow="1" firstDataRow="1" firstDataCol="1"/>
  <pivotFields count="17">
    <pivotField dataField="1"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Количество по полю What’s your age?" fld="0" subtotal="count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149E9-C044-447F-9ACF-0F4D511817DD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4">
  <location ref="A10:B14" firstHeaderRow="1" firstDataRow="1" firstDataCol="1"/>
  <pivotFields count="17"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по полю What’s your age?" fld="0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96E6E-092A-4322-9235-64414153A792}" name="Сводная таблица8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1">
  <location ref="A40:A41" firstHeaderRow="1" firstDataRow="1" firstDataCol="0"/>
  <pivotFields count="17">
    <pivotField showAll="0"/>
    <pivotField showAll="0"/>
    <pivotField showAll="0"/>
    <pivotField showAll="0"/>
    <pivotField showAll="0">
      <items count="7">
        <item x="4"/>
        <item x="0"/>
        <item x="5"/>
        <item x="2"/>
        <item x="1"/>
        <item x="3"/>
        <item t="default"/>
      </items>
    </pivotField>
    <pivotField showAll="0">
      <items count="10">
        <item x="8"/>
        <item x="0"/>
        <item x="5"/>
        <item x="4"/>
        <item x="2"/>
        <item x="1"/>
        <item x="7"/>
        <item x="3"/>
        <item x="6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25">
        <item x="13"/>
        <item x="17"/>
        <item x="10"/>
        <item x="16"/>
        <item x="23"/>
        <item x="20"/>
        <item x="9"/>
        <item x="1"/>
        <item x="22"/>
        <item x="5"/>
        <item x="18"/>
        <item x="6"/>
        <item x="3"/>
        <item x="12"/>
        <item x="11"/>
        <item x="2"/>
        <item x="14"/>
        <item x="7"/>
        <item x="15"/>
        <item x="8"/>
        <item x="4"/>
        <item x="19"/>
        <item x="0"/>
        <item x="2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Сумма по полю Same profession as in a home country" fld="6" baseField="0" baseItem="0"/>
  </dataFields>
  <formats count="1">
    <format dxfId="0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A8212-DD76-471A-B373-C141FA1A663D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7">
    <pivotField axis="axisRow"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Количество по полю What’s your age?" fld="0" subtotal="count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BB468-243D-4292-97D7-F0A915CAC59C}" name="Сводная таблица10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6">
  <location ref="A87:E93" firstHeaderRow="1" firstDataRow="2" firstDataCol="1"/>
  <pivotFields count="17">
    <pivotField showAll="0"/>
    <pivotField showAll="0"/>
    <pivotField showAll="0"/>
    <pivotField showAll="0"/>
    <pivotField showAll="0">
      <items count="7">
        <item x="4"/>
        <item x="0"/>
        <item x="5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3"/>
        <item x="0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Количество по полю What formats of assistance would you be willing to pay for?" fld="15" subtotal="count" baseField="0" baseItem="0"/>
  </dataFields>
  <formats count="1">
    <format dxfId="1">
      <pivotArea dataOnly="0" labelOnly="1" outline="0" axis="axisValues" fieldPosition="0"/>
    </format>
  </formats>
  <chartFormats count="3">
    <chartFormat chart="35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5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5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BEAAE-8CD1-4EC3-A16D-F59DB6EECEC2}" name="Сводная таблица7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1">
  <location ref="A31:B38" firstHeaderRow="1" firstDataRow="1" firstDataCol="1"/>
  <pivotFields count="17">
    <pivotField showAll="0"/>
    <pivotField showAll="0"/>
    <pivotField showAll="0"/>
    <pivotField showAll="0"/>
    <pivotField axis="axisRow" dataField="1" showAll="0">
      <items count="7">
        <item x="4"/>
        <item x="0"/>
        <item x="5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Количество по полю What is the main barrier you face in your job search in Denmark? (Select only one)" fld="4" subtotal="count" baseField="4" baseItem="0"/>
  </dataFields>
  <formats count="2"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31" headerRowDxfId="53">
  <tableColumns count="18">
    <tableColumn id="1" xr3:uid="{00000000-0010-0000-0000-000001000000}" name="Timestamp"/>
    <tableColumn id="2" xr3:uid="{00000000-0010-0000-0000-000002000000}" name="Email Address"/>
    <tableColumn id="3" xr3:uid="{00000000-0010-0000-0000-000003000000}" name="Are you interested in exploring job opportunities?"/>
    <tableColumn id="4" xr3:uid="{00000000-0010-0000-0000-000004000000}" name="What’s your age?"/>
    <tableColumn id="5" xr3:uid="{00000000-0010-0000-0000-000005000000}" name="Please select your gender"/>
    <tableColumn id="6" xr3:uid="{00000000-0010-0000-0000-000006000000}" name="How long have you been living in Denmark?"/>
    <tableColumn id="7" xr3:uid="{00000000-0010-0000-0000-000007000000}" name="Do you feel you need support in your job search?"/>
    <tableColumn id="8" xr3:uid="{00000000-0010-0000-0000-000008000000}" name="What is the main barrier you face in your job search in Denmark? (Select only one)"/>
    <tableColumn id="9" xr3:uid="{00000000-0010-0000-0000-000009000000}" name="What type of job are you primarily seeking?"/>
    <tableColumn id="10" xr3:uid="{00000000-0010-0000-0000-00000A000000}" name="There are many organisations that help newcomers adjust after their relocation. _x000a_When choosing an organisation to help you settle after relocation, which factors matter most? (Select up to 3)"/>
    <tableColumn id="11" xr3:uid="{00000000-0010-0000-0000-00000B000000}" name="Which of the following formats would be helpful in your job search? _x000a_(Select Yes, No, or Not sure for each) [Individual sessions with a mentor]"/>
    <tableColumn id="12" xr3:uid="{00000000-0010-0000-0000-00000C000000}" name="Which of the following formats would be helpful in your job search? _x000a_(Select Yes, No, or Not sure for each) [Group sessions with a mentor]"/>
    <tableColumn id="13" xr3:uid="{00000000-0010-0000-0000-00000D000000}" name="Which of the following formats would be helpful in your job search? _x000a_(Select Yes, No, or Not sure for each) [A specific toolkit to work on your own (book with worksheets and/or workbook) with a feedback]"/>
    <tableColumn id="14" xr3:uid="{00000000-0010-0000-0000-00000E000000}" name="Which of the following formats would be helpful in your job search? _x000a_(Select Yes, No, or Not sure for each) [A free unsupervised community (e.g., an online group)]"/>
    <tableColumn id="15" xr3:uid="{00000000-0010-0000-0000-00000F000000}" name="If you know of other effective formats for job searching, please list them here:"/>
    <tableColumn id="16" xr3:uid="{00000000-0010-0000-0000-000010000000}" name="What formats of assistance would you be willing to pay for?"/>
    <tableColumn id="17" xr3:uid="{00000000-0010-0000-0000-000011000000}" name="How much would you be willing to pay per month for help with finding a job and adapting to a new country?"/>
    <tableColumn id="18" xr3:uid="{00000000-0010-0000-0000-000012000000}" name="Would you be willing to participate in further research?"/>
  </tableColumns>
  <tableStyleInfo name="TableStyleLight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43F357-A5B6-4C4D-ACD3-D05C73C15ED8}" name="Таблица3" displayName="Таблица3" ref="A1:W32" totalsRowCount="1" headerRowDxfId="52" headerRowBorderDxfId="51" tableBorderDxfId="50">
  <autoFilter ref="A1:W31" xr:uid="{6243F357-A5B6-4C4D-ACD3-D05C73C15ED8}"/>
  <tableColumns count="23">
    <tableColumn id="1" xr3:uid="{8F049C14-A3DE-4B7D-BDDB-148902C0D0E9}" name="What’s your age?" dataDxfId="49" totalsRowDxfId="48"/>
    <tableColumn id="2" xr3:uid="{1E6630C5-010D-4B35-9097-DDBE2F93EDEE}" name="Please select your gender" dataDxfId="47" totalsRowDxfId="46"/>
    <tableColumn id="3" xr3:uid="{33A3361C-4F89-4344-8B28-D1657F46E273}" name="How long have you been living in Denmark?" dataDxfId="45" totalsRowDxfId="44"/>
    <tableColumn id="4" xr3:uid="{501241EA-36DB-4E1D-9132-C5DED0104416}" name="Do you feel you need support in your job search?" dataDxfId="43" totalsRowDxfId="42"/>
    <tableColumn id="5" xr3:uid="{10B7EE66-A8E1-41C3-9F8E-4404036ED7A0}" name="What is the main barrier you face in your job search in Denmark? (Select only one)" dataDxfId="41" totalsRowDxfId="40"/>
    <tableColumn id="6" xr3:uid="{DB6FAC1C-5C73-48C2-B02F-4C6575DB2B5C}" name="What type of job are you primarily seeking?" dataDxfId="39" totalsRowDxfId="38"/>
    <tableColumn id="18" xr3:uid="{F67784BC-67E4-44C8-BA43-ABA16273D020}" name="Same profession as in a home country" totalsRowFunction="custom" dataDxfId="37" totalsRowDxfId="36">
      <totalsRowFormula>SUM(G2:G31)</totalsRowFormula>
    </tableColumn>
    <tableColumn id="19" xr3:uid="{0B61B3FC-6278-4417-B676-B3A253883AB0}" name="Other profession than in a home country " totalsRowFunction="custom" dataDxfId="35" totalsRowDxfId="34">
      <totalsRowFormula>SUM(H2:H31)</totalsRowFormula>
    </tableColumn>
    <tableColumn id="20" xr3:uid="{E9606945-D70A-4699-91E2-1CC4B2D9AF2C}" name="Not sure or any available job" totalsRowFunction="custom" dataDxfId="33" totalsRowDxfId="32">
      <totalsRowFormula>SUM(I2:I31)</totalsRowFormula>
    </tableColumn>
    <tableColumn id="7" xr3:uid="{C5DB632C-1F77-4E74-9B69-288AC146C996}" name="There are many organisations that help newcomers adjust after their relocation. _x000a_When choosing an organisation to help you settle after relocation, which factors matter most? (Select up to 3)" dataDxfId="31" totalsRowDxfId="30"/>
    <tableColumn id="21" xr3:uid="{53104B5C-9B48-4120-BF18-55FBFE6EDB94}" name="Recommendations " totalsRowFunction="custom" dataDxfId="29" totalsRowDxfId="28">
      <totalsRowFormula>SUM(Таблица3[[Recommendations ]])</totalsRowFormula>
    </tableColumn>
    <tableColumn id="22" xr3:uid="{9F54E92D-8790-4AAF-8FCF-9D3FFD638334}" name="Online rewiews and testimonials" totalsRowFunction="custom" dataDxfId="27" totalsRowDxfId="26">
      <totalsRowFormula>SUM(Таблица3[Online rewiews and testimonials])</totalsRowFormula>
    </tableColumn>
    <tableColumn id="23" xr3:uid="{3449245F-886C-49EC-B36C-51DC5E8811B3}" name="Website and clarity of info" totalsRowFunction="custom" dataDxfId="25" totalsRowDxfId="24">
      <totalsRowFormula>SUM(Таблица3[Website and clarity of info])</totalsRowFormula>
    </tableColumn>
    <tableColumn id="24" xr3:uid="{A6993ECD-8E9F-47C7-9D5A-70158A50E177}" name="Services offered" totalsRowFunction="custom" dataDxfId="23" totalsRowDxfId="22">
      <totalsRowFormula>SUM(Таблица3[Services offered])</totalsRowFormula>
    </tableColumn>
    <tableColumn id="25" xr3:uid="{2F75FDB0-9345-46F5-8FB5-A875C4194751}" name="Cost of participation" totalsRowFunction="custom" dataDxfId="21" totalsRowDxfId="20">
      <totalsRowFormula>SUM(Таблица3[Cost of participation])</totalsRowFormula>
    </tableColumn>
    <tableColumn id="26" xr3:uid="{030A689D-9705-4756-906A-5BD018BFDE27}" name="Accessibility" totalsRowFunction="custom" dataDxfId="19" totalsRowDxfId="18">
      <totalsRowFormula>SUM(Таблица3[Accessibility])</totalsRowFormula>
    </tableColumn>
    <tableColumn id="8" xr3:uid="{E1D0E75E-8979-47D9-AB6A-1ECB496935FB}" name="Individual sessions with a mentor" dataDxfId="17" totalsRowDxfId="16"/>
    <tableColumn id="9" xr3:uid="{177818E7-50CB-4780-A526-B5BB9896A625}" name="Group sessions with a mentor" dataDxfId="15" totalsRowDxfId="14"/>
    <tableColumn id="10" xr3:uid="{FF3AEB5C-56C5-49CA-9349-27518F2BA14A}" name="A specific toolkit to work on your own (book with worksheets and/or workbook) with a feedback" dataDxfId="13" totalsRowDxfId="12"/>
    <tableColumn id="11" xr3:uid="{42CD0CF5-E9D4-47FE-92BA-76A9FB95CC28}" name="A free unsupervised community (e.g., an online group)" dataDxfId="11" totalsRowDxfId="10"/>
    <tableColumn id="12" xr3:uid="{2EE013A3-C89E-48E9-AB2D-806C42B114C4}" name="If you know of other effective formats for job searching, please list them here:" dataDxfId="9" totalsRowDxfId="8"/>
    <tableColumn id="13" xr3:uid="{4AE0369D-8B64-4D38-B8B1-DDDDB4197368}" name="What formats of assistance would you be willing to pay for?" dataDxfId="7" totalsRowDxfId="6"/>
    <tableColumn id="14" xr3:uid="{A250EC44-566A-4690-9C93-070BABF36602}" name="How much would you be willing to pay per month for help with finding a job and adapting to a new country?" dataDxfId="5" totalsRowDxfId="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1"/>
  <sheetViews>
    <sheetView topLeftCell="K1" workbookViewId="0">
      <pane ySplit="1" topLeftCell="A2" activePane="bottomLeft" state="frozen"/>
      <selection pane="bottomLeft" activeCell="K1" sqref="K1:N1"/>
    </sheetView>
  </sheetViews>
  <sheetFormatPr defaultColWidth="12.6640625" defaultRowHeight="13.2" x14ac:dyDescent="0.25"/>
  <cols>
    <col min="1" max="1" width="18" hidden="1" customWidth="1"/>
    <col min="2" max="2" width="33.109375" bestFit="1" customWidth="1"/>
    <col min="3" max="3" width="31.6640625" bestFit="1" customWidth="1"/>
    <col min="4" max="4" width="16.6640625" bestFit="1" customWidth="1"/>
    <col min="5" max="5" width="23.88671875" bestFit="1" customWidth="1"/>
    <col min="6" max="6" width="30.21875" bestFit="1" customWidth="1"/>
    <col min="7" max="7" width="37.33203125" bestFit="1" customWidth="1"/>
    <col min="8" max="8" width="46.88671875" bestFit="1" customWidth="1"/>
    <col min="9" max="9" width="116.88671875" bestFit="1" customWidth="1"/>
    <col min="10" max="10" width="211.6640625" bestFit="1" customWidth="1"/>
    <col min="11" max="12" width="33.77734375" bestFit="1" customWidth="1"/>
    <col min="13" max="13" width="35.109375" bestFit="1" customWidth="1"/>
    <col min="14" max="14" width="34.77734375" bestFit="1" customWidth="1"/>
    <col min="15" max="15" width="46.44140625" bestFit="1" customWidth="1"/>
    <col min="16" max="16" width="70.6640625" bestFit="1" customWidth="1"/>
    <col min="17" max="17" width="48.88671875" bestFit="1" customWidth="1"/>
    <col min="18" max="18" width="34" bestFit="1" customWidth="1"/>
    <col min="19" max="24" width="18.88671875" customWidth="1"/>
  </cols>
  <sheetData>
    <row r="1" spans="1:18" s="13" customFormat="1" ht="79.2" x14ac:dyDescent="0.25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0" t="s">
        <v>7</v>
      </c>
      <c r="I1" s="11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1" t="s">
        <v>14</v>
      </c>
      <c r="P1" s="11" t="s">
        <v>15</v>
      </c>
      <c r="Q1" s="11" t="s">
        <v>16</v>
      </c>
      <c r="R1" s="12" t="s">
        <v>17</v>
      </c>
    </row>
    <row r="2" spans="1:18" x14ac:dyDescent="0.25">
      <c r="A2" s="1">
        <v>45919.513116782407</v>
      </c>
      <c r="B2" s="2" t="s">
        <v>18</v>
      </c>
      <c r="C2" s="2" t="s">
        <v>19</v>
      </c>
      <c r="D2" s="2">
        <v>52</v>
      </c>
      <c r="E2" s="2" t="s">
        <v>20</v>
      </c>
      <c r="F2" s="2" t="s">
        <v>21</v>
      </c>
      <c r="G2" s="2" t="s">
        <v>19</v>
      </c>
      <c r="H2" s="2" t="s">
        <v>22</v>
      </c>
      <c r="I2" s="2" t="s">
        <v>23</v>
      </c>
      <c r="J2" s="2" t="s">
        <v>24</v>
      </c>
      <c r="K2" s="2" t="s">
        <v>19</v>
      </c>
      <c r="L2" s="2" t="s">
        <v>19</v>
      </c>
      <c r="M2" s="2" t="s">
        <v>19</v>
      </c>
      <c r="N2" s="2" t="s">
        <v>19</v>
      </c>
      <c r="O2" s="2"/>
      <c r="P2" s="2" t="s">
        <v>25</v>
      </c>
      <c r="Q2" s="2" t="s">
        <v>26</v>
      </c>
      <c r="R2" s="3" t="s">
        <v>19</v>
      </c>
    </row>
    <row r="3" spans="1:18" x14ac:dyDescent="0.25">
      <c r="A3" s="4">
        <v>45919.557073993055</v>
      </c>
      <c r="B3" s="5" t="s">
        <v>27</v>
      </c>
      <c r="C3" s="5" t="s">
        <v>19</v>
      </c>
      <c r="D3" s="5">
        <v>26</v>
      </c>
      <c r="E3" s="5" t="s">
        <v>20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33</v>
      </c>
      <c r="M3" s="5" t="s">
        <v>33</v>
      </c>
      <c r="N3" s="5" t="s">
        <v>19</v>
      </c>
      <c r="O3" s="5"/>
      <c r="P3" s="5" t="s">
        <v>34</v>
      </c>
      <c r="Q3" s="5"/>
      <c r="R3" s="6"/>
    </row>
    <row r="4" spans="1:18" x14ac:dyDescent="0.25">
      <c r="A4" s="1">
        <v>45919.564834826393</v>
      </c>
      <c r="B4" s="2" t="s">
        <v>35</v>
      </c>
      <c r="C4" s="2" t="s">
        <v>19</v>
      </c>
      <c r="D4" s="2">
        <v>27</v>
      </c>
      <c r="E4" s="2" t="s">
        <v>20</v>
      </c>
      <c r="F4" s="2" t="s">
        <v>36</v>
      </c>
      <c r="G4" s="2" t="s">
        <v>19</v>
      </c>
      <c r="H4" s="2" t="s">
        <v>30</v>
      </c>
      <c r="I4" s="2" t="s">
        <v>37</v>
      </c>
      <c r="J4" s="2" t="s">
        <v>38</v>
      </c>
      <c r="K4" s="2" t="s">
        <v>19</v>
      </c>
      <c r="L4" s="2" t="s">
        <v>19</v>
      </c>
      <c r="M4" s="2" t="s">
        <v>33</v>
      </c>
      <c r="N4" s="2" t="s">
        <v>33</v>
      </c>
      <c r="O4" s="2"/>
      <c r="P4" s="2" t="s">
        <v>34</v>
      </c>
      <c r="Q4" s="2"/>
      <c r="R4" s="3"/>
    </row>
    <row r="5" spans="1:18" x14ac:dyDescent="0.25">
      <c r="A5" s="4">
        <v>45919.565265138888</v>
      </c>
      <c r="B5" s="5" t="s">
        <v>39</v>
      </c>
      <c r="C5" s="5" t="s">
        <v>19</v>
      </c>
      <c r="D5" s="5">
        <v>29</v>
      </c>
      <c r="E5" s="5" t="s">
        <v>20</v>
      </c>
      <c r="F5" s="5" t="s">
        <v>36</v>
      </c>
      <c r="G5" s="5" t="s">
        <v>19</v>
      </c>
      <c r="H5" s="5" t="s">
        <v>22</v>
      </c>
      <c r="I5" s="5" t="s">
        <v>37</v>
      </c>
      <c r="J5" s="5" t="s">
        <v>40</v>
      </c>
      <c r="K5" s="5" t="s">
        <v>19</v>
      </c>
      <c r="L5" s="5" t="s">
        <v>19</v>
      </c>
      <c r="M5" s="5" t="s">
        <v>19</v>
      </c>
      <c r="N5" s="5" t="s">
        <v>19</v>
      </c>
      <c r="O5" s="5"/>
      <c r="P5" s="5" t="s">
        <v>41</v>
      </c>
      <c r="Q5" s="5" t="s">
        <v>26</v>
      </c>
      <c r="R5" s="6" t="s">
        <v>19</v>
      </c>
    </row>
    <row r="6" spans="1:18" x14ac:dyDescent="0.25">
      <c r="A6" s="1">
        <v>45919.578808414357</v>
      </c>
      <c r="B6" s="2" t="s">
        <v>42</v>
      </c>
      <c r="C6" s="2" t="s">
        <v>19</v>
      </c>
      <c r="D6" s="2">
        <v>25</v>
      </c>
      <c r="E6" s="2" t="s">
        <v>43</v>
      </c>
      <c r="F6" s="2" t="s">
        <v>44</v>
      </c>
      <c r="G6" s="2" t="s">
        <v>19</v>
      </c>
      <c r="H6" s="2" t="s">
        <v>45</v>
      </c>
      <c r="I6" s="2" t="s">
        <v>37</v>
      </c>
      <c r="J6" s="2" t="s">
        <v>46</v>
      </c>
      <c r="K6" s="2" t="s">
        <v>19</v>
      </c>
      <c r="L6" s="2" t="s">
        <v>19</v>
      </c>
      <c r="M6" s="2" t="s">
        <v>19</v>
      </c>
      <c r="N6" s="2" t="s">
        <v>47</v>
      </c>
      <c r="O6" s="2"/>
      <c r="P6" s="2" t="s">
        <v>34</v>
      </c>
      <c r="Q6" s="2"/>
      <c r="R6" s="3"/>
    </row>
    <row r="7" spans="1:18" x14ac:dyDescent="0.25">
      <c r="A7" s="4">
        <v>45919.618564039352</v>
      </c>
      <c r="B7" s="5" t="s">
        <v>48</v>
      </c>
      <c r="C7" s="5" t="s">
        <v>19</v>
      </c>
      <c r="D7" s="5">
        <v>54</v>
      </c>
      <c r="E7" s="5" t="s">
        <v>20</v>
      </c>
      <c r="F7" s="5" t="s">
        <v>36</v>
      </c>
      <c r="G7" s="5" t="s">
        <v>19</v>
      </c>
      <c r="H7" s="5" t="s">
        <v>49</v>
      </c>
      <c r="I7" s="5" t="s">
        <v>37</v>
      </c>
      <c r="J7" s="5" t="s">
        <v>50</v>
      </c>
      <c r="K7" s="5" t="s">
        <v>19</v>
      </c>
      <c r="L7" s="5" t="s">
        <v>47</v>
      </c>
      <c r="M7" s="5" t="s">
        <v>19</v>
      </c>
      <c r="N7" s="5" t="s">
        <v>19</v>
      </c>
      <c r="O7" s="5"/>
      <c r="P7" s="5" t="s">
        <v>25</v>
      </c>
      <c r="Q7" s="5" t="s">
        <v>26</v>
      </c>
      <c r="R7" s="6" t="s">
        <v>19</v>
      </c>
    </row>
    <row r="8" spans="1:18" x14ac:dyDescent="0.25">
      <c r="A8" s="1">
        <v>45919.633487002313</v>
      </c>
      <c r="B8" s="2" t="s">
        <v>51</v>
      </c>
      <c r="C8" s="2" t="s">
        <v>19</v>
      </c>
      <c r="D8" s="2">
        <v>30</v>
      </c>
      <c r="E8" s="2" t="s">
        <v>52</v>
      </c>
      <c r="F8" s="2" t="s">
        <v>44</v>
      </c>
      <c r="G8" s="2" t="s">
        <v>19</v>
      </c>
      <c r="H8" s="2" t="s">
        <v>22</v>
      </c>
      <c r="I8" s="2" t="s">
        <v>53</v>
      </c>
      <c r="J8" s="2" t="s">
        <v>54</v>
      </c>
      <c r="K8" s="2" t="s">
        <v>19</v>
      </c>
      <c r="L8" s="2" t="s">
        <v>19</v>
      </c>
      <c r="M8" s="2" t="s">
        <v>19</v>
      </c>
      <c r="N8" s="2" t="s">
        <v>19</v>
      </c>
      <c r="O8" s="2" t="s">
        <v>55</v>
      </c>
      <c r="P8" s="2" t="s">
        <v>34</v>
      </c>
      <c r="Q8" s="2"/>
      <c r="R8" s="3"/>
    </row>
    <row r="9" spans="1:18" x14ac:dyDescent="0.25">
      <c r="A9" s="4">
        <v>45919.633899456021</v>
      </c>
      <c r="B9" s="5" t="s">
        <v>56</v>
      </c>
      <c r="C9" s="5" t="s">
        <v>19</v>
      </c>
      <c r="D9" s="5">
        <v>35</v>
      </c>
      <c r="E9" s="5" t="s">
        <v>43</v>
      </c>
      <c r="F9" s="5" t="s">
        <v>28</v>
      </c>
      <c r="G9" s="5" t="s">
        <v>29</v>
      </c>
      <c r="H9" s="5" t="s">
        <v>30</v>
      </c>
      <c r="I9" s="5" t="s">
        <v>37</v>
      </c>
      <c r="J9" s="5" t="s">
        <v>57</v>
      </c>
      <c r="K9" s="5" t="s">
        <v>19</v>
      </c>
      <c r="L9" s="5" t="s">
        <v>33</v>
      </c>
      <c r="M9" s="5" t="s">
        <v>19</v>
      </c>
      <c r="N9" s="5" t="s">
        <v>19</v>
      </c>
      <c r="O9" s="5"/>
      <c r="P9" s="5" t="s">
        <v>25</v>
      </c>
      <c r="Q9" s="5" t="s">
        <v>58</v>
      </c>
      <c r="R9" s="6" t="s">
        <v>59</v>
      </c>
    </row>
    <row r="10" spans="1:18" x14ac:dyDescent="0.25">
      <c r="A10" s="1">
        <v>45919.810143553244</v>
      </c>
      <c r="B10" s="2" t="s">
        <v>60</v>
      </c>
      <c r="C10" s="2" t="s">
        <v>19</v>
      </c>
      <c r="D10" s="2">
        <v>26</v>
      </c>
      <c r="E10" s="2" t="s">
        <v>43</v>
      </c>
      <c r="F10" s="2" t="s">
        <v>28</v>
      </c>
      <c r="G10" s="2" t="s">
        <v>19</v>
      </c>
      <c r="H10" s="2" t="s">
        <v>22</v>
      </c>
      <c r="I10" s="2" t="s">
        <v>31</v>
      </c>
      <c r="J10" s="2" t="s">
        <v>61</v>
      </c>
      <c r="K10" s="2" t="s">
        <v>19</v>
      </c>
      <c r="L10" s="2" t="s">
        <v>19</v>
      </c>
      <c r="M10" s="2" t="s">
        <v>33</v>
      </c>
      <c r="N10" s="2" t="s">
        <v>19</v>
      </c>
      <c r="O10" s="2"/>
      <c r="P10" s="2" t="s">
        <v>25</v>
      </c>
      <c r="Q10" s="2" t="s">
        <v>26</v>
      </c>
      <c r="R10" s="3" t="s">
        <v>59</v>
      </c>
    </row>
    <row r="11" spans="1:18" x14ac:dyDescent="0.25">
      <c r="A11" s="4">
        <v>45920.334336585649</v>
      </c>
      <c r="B11" s="5" t="s">
        <v>62</v>
      </c>
      <c r="C11" s="5" t="s">
        <v>19</v>
      </c>
      <c r="D11" s="5">
        <v>38</v>
      </c>
      <c r="E11" s="5" t="s">
        <v>43</v>
      </c>
      <c r="F11" s="5" t="s">
        <v>36</v>
      </c>
      <c r="G11" s="5" t="s">
        <v>19</v>
      </c>
      <c r="H11" s="5" t="s">
        <v>30</v>
      </c>
      <c r="I11" s="5" t="s">
        <v>63</v>
      </c>
      <c r="J11" s="5" t="s">
        <v>64</v>
      </c>
      <c r="K11" s="5" t="s">
        <v>19</v>
      </c>
      <c r="L11" s="5" t="s">
        <v>19</v>
      </c>
      <c r="M11" s="5" t="s">
        <v>19</v>
      </c>
      <c r="N11" s="5" t="s">
        <v>47</v>
      </c>
      <c r="O11" s="5"/>
      <c r="P11" s="5" t="s">
        <v>34</v>
      </c>
      <c r="Q11" s="5"/>
      <c r="R11" s="6"/>
    </row>
    <row r="12" spans="1:18" x14ac:dyDescent="0.25">
      <c r="A12" s="1">
        <v>45921.548481840277</v>
      </c>
      <c r="B12" s="2" t="s">
        <v>65</v>
      </c>
      <c r="C12" s="2" t="s">
        <v>19</v>
      </c>
      <c r="D12" s="2">
        <v>43</v>
      </c>
      <c r="E12" s="2" t="s">
        <v>20</v>
      </c>
      <c r="F12" s="2" t="s">
        <v>44</v>
      </c>
      <c r="G12" s="2" t="s">
        <v>19</v>
      </c>
      <c r="H12" s="2" t="s">
        <v>49</v>
      </c>
      <c r="I12" s="2" t="s">
        <v>37</v>
      </c>
      <c r="J12" s="2" t="s">
        <v>66</v>
      </c>
      <c r="K12" s="2" t="s">
        <v>19</v>
      </c>
      <c r="L12" s="2" t="s">
        <v>19</v>
      </c>
      <c r="M12" s="2" t="s">
        <v>19</v>
      </c>
      <c r="N12" s="2" t="s">
        <v>33</v>
      </c>
      <c r="O12" s="2" t="s">
        <v>67</v>
      </c>
      <c r="P12" s="2" t="s">
        <v>41</v>
      </c>
      <c r="Q12" s="2" t="s">
        <v>26</v>
      </c>
      <c r="R12" s="3" t="s">
        <v>19</v>
      </c>
    </row>
    <row r="13" spans="1:18" x14ac:dyDescent="0.25">
      <c r="A13" s="4">
        <v>45922.61530247685</v>
      </c>
      <c r="B13" s="5" t="s">
        <v>68</v>
      </c>
      <c r="C13" s="5" t="s">
        <v>19</v>
      </c>
      <c r="D13" s="5">
        <v>30</v>
      </c>
      <c r="E13" s="5" t="s">
        <v>20</v>
      </c>
      <c r="F13" s="5" t="s">
        <v>36</v>
      </c>
      <c r="G13" s="5" t="s">
        <v>19</v>
      </c>
      <c r="H13" s="5" t="s">
        <v>30</v>
      </c>
      <c r="I13" s="5" t="s">
        <v>69</v>
      </c>
      <c r="J13" s="5" t="s">
        <v>70</v>
      </c>
      <c r="K13" s="5" t="s">
        <v>33</v>
      </c>
      <c r="L13" s="5" t="s">
        <v>33</v>
      </c>
      <c r="M13" s="5" t="s">
        <v>19</v>
      </c>
      <c r="N13" s="5" t="s">
        <v>19</v>
      </c>
      <c r="P13" s="5" t="s">
        <v>34</v>
      </c>
    </row>
    <row r="14" spans="1:18" x14ac:dyDescent="0.25">
      <c r="A14" s="1">
        <v>45922.644413611109</v>
      </c>
      <c r="B14" s="2" t="s">
        <v>71</v>
      </c>
      <c r="C14" s="2" t="s">
        <v>19</v>
      </c>
      <c r="D14" s="2">
        <v>34</v>
      </c>
      <c r="E14" s="2" t="s">
        <v>20</v>
      </c>
      <c r="F14" s="2" t="s">
        <v>36</v>
      </c>
      <c r="G14" s="2" t="s">
        <v>19</v>
      </c>
      <c r="H14" s="2" t="s">
        <v>45</v>
      </c>
      <c r="I14" s="2" t="s">
        <v>37</v>
      </c>
      <c r="J14" s="2" t="s">
        <v>72</v>
      </c>
      <c r="K14" s="2" t="s">
        <v>19</v>
      </c>
      <c r="L14" s="2" t="s">
        <v>47</v>
      </c>
      <c r="M14" s="2" t="s">
        <v>47</v>
      </c>
      <c r="N14" s="2" t="s">
        <v>19</v>
      </c>
      <c r="O14" s="2" t="s">
        <v>73</v>
      </c>
      <c r="P14" s="2" t="s">
        <v>34</v>
      </c>
    </row>
    <row r="15" spans="1:18" x14ac:dyDescent="0.25">
      <c r="A15" s="4">
        <v>45922.690609907411</v>
      </c>
      <c r="B15" s="5" t="s">
        <v>74</v>
      </c>
      <c r="C15" s="5" t="s">
        <v>19</v>
      </c>
      <c r="D15" s="5">
        <v>32</v>
      </c>
      <c r="E15" s="5" t="s">
        <v>20</v>
      </c>
      <c r="F15" s="5" t="s">
        <v>36</v>
      </c>
      <c r="G15" s="5" t="s">
        <v>19</v>
      </c>
      <c r="H15" s="5" t="s">
        <v>30</v>
      </c>
      <c r="I15" s="5" t="s">
        <v>37</v>
      </c>
      <c r="J15" s="5" t="s">
        <v>75</v>
      </c>
      <c r="K15" s="5" t="s">
        <v>19</v>
      </c>
      <c r="L15" s="5" t="s">
        <v>19</v>
      </c>
      <c r="M15" s="5" t="s">
        <v>33</v>
      </c>
      <c r="N15" s="5" t="s">
        <v>19</v>
      </c>
      <c r="P15" s="5" t="s">
        <v>76</v>
      </c>
      <c r="Q15" s="5" t="s">
        <v>58</v>
      </c>
      <c r="R15" s="6" t="s">
        <v>19</v>
      </c>
    </row>
    <row r="16" spans="1:18" x14ac:dyDescent="0.25">
      <c r="A16" s="1">
        <v>45924.579194224541</v>
      </c>
      <c r="B16" s="2" t="s">
        <v>77</v>
      </c>
      <c r="C16" s="2" t="s">
        <v>19</v>
      </c>
      <c r="D16" s="2">
        <v>35</v>
      </c>
      <c r="E16" s="2" t="s">
        <v>20</v>
      </c>
      <c r="F16" s="2" t="s">
        <v>36</v>
      </c>
      <c r="G16" s="2" t="s">
        <v>19</v>
      </c>
      <c r="H16" s="2" t="s">
        <v>30</v>
      </c>
      <c r="I16" s="2" t="s">
        <v>37</v>
      </c>
      <c r="J16" s="2" t="s">
        <v>78</v>
      </c>
      <c r="K16" s="2" t="s">
        <v>19</v>
      </c>
      <c r="L16" s="2" t="s">
        <v>19</v>
      </c>
      <c r="M16" s="2" t="s">
        <v>33</v>
      </c>
      <c r="N16" s="2" t="s">
        <v>19</v>
      </c>
      <c r="P16" s="2" t="s">
        <v>25</v>
      </c>
      <c r="Q16" s="2" t="s">
        <v>26</v>
      </c>
      <c r="R16" s="3" t="s">
        <v>19</v>
      </c>
    </row>
    <row r="17" spans="1:18" x14ac:dyDescent="0.25">
      <c r="A17" s="4">
        <v>45925.448578854164</v>
      </c>
      <c r="B17" s="5" t="s">
        <v>79</v>
      </c>
      <c r="C17" s="5" t="s">
        <v>19</v>
      </c>
      <c r="D17" s="5">
        <v>45</v>
      </c>
      <c r="E17" s="5" t="s">
        <v>20</v>
      </c>
      <c r="F17" s="5" t="s">
        <v>36</v>
      </c>
      <c r="G17" s="5" t="s">
        <v>19</v>
      </c>
      <c r="H17" s="5" t="s">
        <v>49</v>
      </c>
      <c r="I17" s="5" t="s">
        <v>31</v>
      </c>
      <c r="J17" s="5" t="s">
        <v>46</v>
      </c>
      <c r="K17" s="5" t="s">
        <v>19</v>
      </c>
      <c r="L17" s="5" t="s">
        <v>19</v>
      </c>
      <c r="M17" s="5" t="s">
        <v>19</v>
      </c>
      <c r="N17" s="5" t="s">
        <v>19</v>
      </c>
      <c r="P17" s="5" t="s">
        <v>25</v>
      </c>
      <c r="Q17" s="5" t="s">
        <v>26</v>
      </c>
      <c r="R17" s="6" t="s">
        <v>59</v>
      </c>
    </row>
    <row r="18" spans="1:18" x14ac:dyDescent="0.25">
      <c r="A18" s="1">
        <v>45925.458838032406</v>
      </c>
      <c r="B18" s="2" t="s">
        <v>80</v>
      </c>
      <c r="C18" s="2" t="s">
        <v>19</v>
      </c>
      <c r="D18" s="2">
        <v>38</v>
      </c>
      <c r="E18" s="2" t="s">
        <v>43</v>
      </c>
      <c r="F18" s="2" t="s">
        <v>21</v>
      </c>
      <c r="G18" s="2" t="s">
        <v>47</v>
      </c>
      <c r="H18" s="2" t="s">
        <v>30</v>
      </c>
      <c r="I18" s="2" t="s">
        <v>69</v>
      </c>
      <c r="J18" s="2" t="s">
        <v>81</v>
      </c>
      <c r="K18" s="2" t="s">
        <v>19</v>
      </c>
      <c r="L18" s="2" t="s">
        <v>33</v>
      </c>
      <c r="M18" s="2" t="s">
        <v>47</v>
      </c>
      <c r="N18" s="2" t="s">
        <v>19</v>
      </c>
      <c r="P18" s="2" t="s">
        <v>25</v>
      </c>
      <c r="Q18" s="2" t="s">
        <v>26</v>
      </c>
      <c r="R18" s="3" t="s">
        <v>47</v>
      </c>
    </row>
    <row r="19" spans="1:18" x14ac:dyDescent="0.25">
      <c r="A19" s="4">
        <v>45925.504135115742</v>
      </c>
      <c r="B19" s="5" t="s">
        <v>82</v>
      </c>
      <c r="C19" s="5" t="s">
        <v>19</v>
      </c>
      <c r="D19" s="5">
        <v>45</v>
      </c>
      <c r="E19" s="5" t="s">
        <v>20</v>
      </c>
      <c r="F19" s="5" t="s">
        <v>36</v>
      </c>
      <c r="G19" s="5" t="s">
        <v>19</v>
      </c>
      <c r="H19" s="5" t="s">
        <v>22</v>
      </c>
      <c r="I19" s="5" t="s">
        <v>83</v>
      </c>
      <c r="J19" s="5" t="s">
        <v>84</v>
      </c>
      <c r="K19" s="5" t="s">
        <v>19</v>
      </c>
      <c r="L19" s="5" t="s">
        <v>33</v>
      </c>
      <c r="M19" s="5" t="s">
        <v>19</v>
      </c>
      <c r="N19" s="5" t="s">
        <v>19</v>
      </c>
      <c r="P19" s="5" t="s">
        <v>34</v>
      </c>
    </row>
    <row r="20" spans="1:18" x14ac:dyDescent="0.25">
      <c r="A20" s="1">
        <v>45925.800323703705</v>
      </c>
      <c r="B20" s="2" t="s">
        <v>85</v>
      </c>
      <c r="C20" s="2" t="s">
        <v>19</v>
      </c>
      <c r="D20" s="2">
        <v>35</v>
      </c>
      <c r="E20" s="2" t="s">
        <v>20</v>
      </c>
      <c r="F20" s="2" t="s">
        <v>36</v>
      </c>
      <c r="G20" s="2" t="s">
        <v>19</v>
      </c>
      <c r="H20" s="2" t="s">
        <v>86</v>
      </c>
      <c r="I20" s="2" t="s">
        <v>87</v>
      </c>
      <c r="J20" s="2" t="s">
        <v>88</v>
      </c>
      <c r="K20" s="2" t="s">
        <v>19</v>
      </c>
      <c r="L20" s="2" t="s">
        <v>19</v>
      </c>
      <c r="M20" s="2" t="s">
        <v>33</v>
      </c>
      <c r="N20" s="2" t="s">
        <v>47</v>
      </c>
      <c r="P20" s="2" t="s">
        <v>25</v>
      </c>
      <c r="Q20" s="2" t="s">
        <v>26</v>
      </c>
      <c r="R20" s="3" t="s">
        <v>59</v>
      </c>
    </row>
    <row r="21" spans="1:18" x14ac:dyDescent="0.25">
      <c r="A21" s="4">
        <v>45926.674098067131</v>
      </c>
      <c r="B21" s="5" t="s">
        <v>89</v>
      </c>
      <c r="C21" s="5" t="s">
        <v>19</v>
      </c>
      <c r="D21" s="5">
        <v>31</v>
      </c>
      <c r="E21" s="5" t="s">
        <v>20</v>
      </c>
      <c r="F21" s="5" t="s">
        <v>36</v>
      </c>
      <c r="G21" s="5" t="s">
        <v>19</v>
      </c>
      <c r="H21" s="5" t="s">
        <v>90</v>
      </c>
      <c r="I21" s="5" t="s">
        <v>37</v>
      </c>
      <c r="J21" s="5" t="s">
        <v>91</v>
      </c>
      <c r="K21" s="5" t="s">
        <v>19</v>
      </c>
      <c r="L21" s="5" t="s">
        <v>19</v>
      </c>
      <c r="M21" s="5" t="s">
        <v>33</v>
      </c>
      <c r="N21" s="5" t="s">
        <v>33</v>
      </c>
      <c r="P21" s="5" t="s">
        <v>34</v>
      </c>
    </row>
    <row r="22" spans="1:18" x14ac:dyDescent="0.25">
      <c r="A22" s="1">
        <v>45928.935130659724</v>
      </c>
      <c r="B22" s="2" t="s">
        <v>92</v>
      </c>
      <c r="C22" s="2" t="s">
        <v>19</v>
      </c>
      <c r="D22" s="2">
        <v>55</v>
      </c>
      <c r="E22" s="2" t="s">
        <v>20</v>
      </c>
      <c r="F22" s="2" t="s">
        <v>36</v>
      </c>
      <c r="G22" s="2" t="s">
        <v>29</v>
      </c>
      <c r="H22" s="2" t="s">
        <v>30</v>
      </c>
      <c r="I22" s="2" t="s">
        <v>37</v>
      </c>
      <c r="J22" s="2" t="s">
        <v>93</v>
      </c>
      <c r="K22" s="2" t="s">
        <v>19</v>
      </c>
      <c r="L22" s="2" t="s">
        <v>47</v>
      </c>
      <c r="M22" s="2" t="s">
        <v>19</v>
      </c>
      <c r="N22" s="2" t="s">
        <v>47</v>
      </c>
      <c r="P22" s="2" t="s">
        <v>41</v>
      </c>
      <c r="Q22" s="2" t="s">
        <v>58</v>
      </c>
      <c r="R22" s="3" t="s">
        <v>19</v>
      </c>
    </row>
    <row r="23" spans="1:18" x14ac:dyDescent="0.25">
      <c r="A23" s="4">
        <v>45929.626824907406</v>
      </c>
      <c r="B23" s="5" t="s">
        <v>94</v>
      </c>
      <c r="C23" s="5" t="s">
        <v>19</v>
      </c>
      <c r="E23" s="5" t="s">
        <v>20</v>
      </c>
      <c r="F23" s="5" t="s">
        <v>36</v>
      </c>
      <c r="G23" s="5" t="s">
        <v>19</v>
      </c>
      <c r="H23" s="5" t="s">
        <v>30</v>
      </c>
      <c r="I23" s="5" t="s">
        <v>37</v>
      </c>
      <c r="J23" s="5" t="s">
        <v>95</v>
      </c>
      <c r="K23" s="5" t="s">
        <v>47</v>
      </c>
      <c r="L23" s="5" t="s">
        <v>47</v>
      </c>
      <c r="M23" s="5" t="s">
        <v>19</v>
      </c>
      <c r="N23" s="5" t="s">
        <v>47</v>
      </c>
      <c r="P23" s="5" t="s">
        <v>41</v>
      </c>
      <c r="Q23" s="5" t="s">
        <v>26</v>
      </c>
      <c r="R23" s="6" t="s">
        <v>59</v>
      </c>
    </row>
    <row r="24" spans="1:18" x14ac:dyDescent="0.25">
      <c r="A24" s="4">
        <v>45933.802449849536</v>
      </c>
      <c r="B24" s="5" t="s">
        <v>97</v>
      </c>
      <c r="D24" s="5">
        <v>44</v>
      </c>
      <c r="E24" s="5" t="s">
        <v>20</v>
      </c>
      <c r="F24" s="5" t="s">
        <v>21</v>
      </c>
      <c r="G24" s="5" t="s">
        <v>19</v>
      </c>
      <c r="H24" s="5" t="s">
        <v>22</v>
      </c>
      <c r="I24" s="5" t="s">
        <v>69</v>
      </c>
      <c r="K24" s="5" t="s">
        <v>33</v>
      </c>
      <c r="L24" s="5" t="s">
        <v>33</v>
      </c>
      <c r="M24" s="5" t="s">
        <v>33</v>
      </c>
      <c r="N24" s="5" t="s">
        <v>33</v>
      </c>
      <c r="P24" s="5" t="s">
        <v>34</v>
      </c>
    </row>
    <row r="25" spans="1:18" x14ac:dyDescent="0.25">
      <c r="A25" s="1">
        <v>45939.600615497686</v>
      </c>
      <c r="B25" s="2" t="s">
        <v>98</v>
      </c>
      <c r="D25" s="2">
        <v>35</v>
      </c>
      <c r="E25" s="2" t="s">
        <v>20</v>
      </c>
      <c r="F25" s="2" t="s">
        <v>36</v>
      </c>
      <c r="G25" s="2" t="s">
        <v>19</v>
      </c>
      <c r="H25" s="2" t="s">
        <v>30</v>
      </c>
      <c r="I25" s="2" t="s">
        <v>69</v>
      </c>
      <c r="J25" s="2" t="s">
        <v>24</v>
      </c>
      <c r="K25" s="2" t="s">
        <v>19</v>
      </c>
      <c r="L25" s="2" t="s">
        <v>19</v>
      </c>
      <c r="M25" s="2" t="s">
        <v>47</v>
      </c>
      <c r="N25" s="2" t="s">
        <v>19</v>
      </c>
      <c r="P25" s="2" t="s">
        <v>41</v>
      </c>
      <c r="Q25" s="2" t="s">
        <v>26</v>
      </c>
      <c r="R25" s="3" t="s">
        <v>19</v>
      </c>
    </row>
    <row r="26" spans="1:18" x14ac:dyDescent="0.25">
      <c r="A26" s="4">
        <v>45941.898584166665</v>
      </c>
      <c r="B26" s="5" t="s">
        <v>99</v>
      </c>
      <c r="D26" s="5">
        <v>37</v>
      </c>
      <c r="E26" s="5" t="s">
        <v>20</v>
      </c>
      <c r="F26" s="5" t="s">
        <v>28</v>
      </c>
      <c r="G26" s="5" t="s">
        <v>19</v>
      </c>
      <c r="H26" s="5" t="s">
        <v>49</v>
      </c>
      <c r="I26" s="5" t="s">
        <v>96</v>
      </c>
      <c r="J26" s="5" t="s">
        <v>100</v>
      </c>
      <c r="K26" s="5" t="s">
        <v>19</v>
      </c>
      <c r="L26" s="5" t="s">
        <v>19</v>
      </c>
      <c r="M26" s="5" t="s">
        <v>19</v>
      </c>
      <c r="N26" s="5" t="s">
        <v>47</v>
      </c>
      <c r="P26" s="5" t="s">
        <v>34</v>
      </c>
    </row>
    <row r="27" spans="1:18" x14ac:dyDescent="0.25">
      <c r="A27" s="1">
        <v>45943.867383414356</v>
      </c>
      <c r="B27" s="2" t="s">
        <v>101</v>
      </c>
      <c r="D27" s="2">
        <v>25</v>
      </c>
      <c r="E27" s="2" t="s">
        <v>43</v>
      </c>
      <c r="F27" s="2" t="s">
        <v>36</v>
      </c>
      <c r="G27" s="2" t="s">
        <v>19</v>
      </c>
      <c r="H27" s="2" t="s">
        <v>49</v>
      </c>
      <c r="I27" s="2" t="s">
        <v>37</v>
      </c>
      <c r="J27" s="2" t="s">
        <v>102</v>
      </c>
      <c r="K27" s="2" t="s">
        <v>33</v>
      </c>
      <c r="L27" s="2" t="s">
        <v>19</v>
      </c>
      <c r="M27" s="2" t="s">
        <v>19</v>
      </c>
      <c r="N27" s="2" t="s">
        <v>33</v>
      </c>
      <c r="P27" s="2" t="s">
        <v>34</v>
      </c>
    </row>
    <row r="28" spans="1:18" x14ac:dyDescent="0.25">
      <c r="A28" s="4">
        <v>45947.443406782404</v>
      </c>
      <c r="B28" s="5" t="s">
        <v>103</v>
      </c>
      <c r="D28" s="5">
        <v>35</v>
      </c>
      <c r="E28" s="5" t="s">
        <v>20</v>
      </c>
      <c r="F28" s="5" t="s">
        <v>21</v>
      </c>
      <c r="G28" s="5" t="s">
        <v>29</v>
      </c>
      <c r="H28" s="5" t="s">
        <v>49</v>
      </c>
      <c r="I28" s="5" t="s">
        <v>23</v>
      </c>
      <c r="J28" s="5" t="s">
        <v>81</v>
      </c>
      <c r="K28" s="5" t="s">
        <v>33</v>
      </c>
      <c r="L28" s="5" t="s">
        <v>47</v>
      </c>
      <c r="M28" s="5" t="s">
        <v>33</v>
      </c>
      <c r="N28" s="5" t="s">
        <v>47</v>
      </c>
      <c r="P28" s="5" t="s">
        <v>34</v>
      </c>
    </row>
    <row r="29" spans="1:18" x14ac:dyDescent="0.25">
      <c r="A29" s="1">
        <v>45947.730891435189</v>
      </c>
      <c r="B29" s="2" t="s">
        <v>104</v>
      </c>
      <c r="D29" s="2">
        <v>36</v>
      </c>
      <c r="E29" s="2" t="s">
        <v>43</v>
      </c>
      <c r="F29" s="2" t="s">
        <v>36</v>
      </c>
      <c r="G29" s="2" t="s">
        <v>47</v>
      </c>
      <c r="H29" s="2" t="s">
        <v>22</v>
      </c>
      <c r="I29" s="2" t="s">
        <v>37</v>
      </c>
      <c r="J29" s="2" t="s">
        <v>40</v>
      </c>
      <c r="K29" s="2" t="s">
        <v>33</v>
      </c>
      <c r="L29" s="2" t="s">
        <v>33</v>
      </c>
      <c r="M29" s="2" t="s">
        <v>33</v>
      </c>
      <c r="N29" s="2" t="s">
        <v>19</v>
      </c>
      <c r="P29" s="2" t="s">
        <v>34</v>
      </c>
    </row>
    <row r="30" spans="1:18" x14ac:dyDescent="0.25">
      <c r="A30" s="4">
        <v>45951.453385115739</v>
      </c>
      <c r="B30" s="5" t="s">
        <v>105</v>
      </c>
      <c r="D30" s="5">
        <v>23</v>
      </c>
      <c r="E30" s="5" t="s">
        <v>20</v>
      </c>
      <c r="F30" s="5" t="s">
        <v>36</v>
      </c>
      <c r="G30" s="5" t="s">
        <v>19</v>
      </c>
      <c r="H30" s="5" t="s">
        <v>30</v>
      </c>
      <c r="I30" s="5" t="s">
        <v>37</v>
      </c>
      <c r="J30" s="5" t="s">
        <v>70</v>
      </c>
      <c r="K30" s="5" t="s">
        <v>19</v>
      </c>
      <c r="L30" s="5" t="s">
        <v>19</v>
      </c>
      <c r="M30" s="5" t="s">
        <v>19</v>
      </c>
      <c r="N30" s="5" t="s">
        <v>33</v>
      </c>
      <c r="P30" s="5" t="s">
        <v>41</v>
      </c>
      <c r="Q30" s="5" t="s">
        <v>58</v>
      </c>
      <c r="R30" s="6" t="s">
        <v>59</v>
      </c>
    </row>
    <row r="31" spans="1:18" x14ac:dyDescent="0.25">
      <c r="A31" s="7">
        <v>45952.559953252319</v>
      </c>
      <c r="B31" s="8" t="s">
        <v>106</v>
      </c>
      <c r="D31" s="8">
        <v>26</v>
      </c>
      <c r="E31" s="8" t="s">
        <v>20</v>
      </c>
      <c r="F31" s="8" t="s">
        <v>36</v>
      </c>
      <c r="G31" s="8" t="s">
        <v>19</v>
      </c>
      <c r="H31" s="8" t="s">
        <v>30</v>
      </c>
      <c r="I31" s="8" t="s">
        <v>69</v>
      </c>
      <c r="J31" s="8" t="s">
        <v>88</v>
      </c>
      <c r="K31" s="8" t="s">
        <v>19</v>
      </c>
      <c r="L31" s="8" t="s">
        <v>19</v>
      </c>
      <c r="M31" s="8" t="s">
        <v>33</v>
      </c>
      <c r="N31" s="8" t="s">
        <v>19</v>
      </c>
      <c r="P31" s="8" t="s">
        <v>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CDEF-9026-4F5E-8AEB-579CCED4C6A3}">
  <dimension ref="A1:W32"/>
  <sheetViews>
    <sheetView topLeftCell="U10" zoomScale="85" zoomScaleNormal="85" workbookViewId="0">
      <selection sqref="A1:W1"/>
    </sheetView>
  </sheetViews>
  <sheetFormatPr defaultRowHeight="13.2" x14ac:dyDescent="0.25"/>
  <cols>
    <col min="1" max="1" width="18.44140625" customWidth="1"/>
    <col min="2" max="2" width="25.44140625" customWidth="1"/>
    <col min="3" max="3" width="41" customWidth="1"/>
    <col min="4" max="4" width="46.109375" customWidth="1"/>
    <col min="5" max="5" width="57.109375" customWidth="1"/>
    <col min="6" max="6" width="123.77734375" bestFit="1" customWidth="1"/>
    <col min="7" max="7" width="18.44140625" bestFit="1" customWidth="1"/>
    <col min="8" max="9" width="18.44140625" customWidth="1"/>
    <col min="10" max="10" width="137.109375" style="37" customWidth="1"/>
    <col min="11" max="11" width="10.44140625" customWidth="1"/>
    <col min="12" max="12" width="13.6640625" customWidth="1"/>
    <col min="13" max="15" width="10.44140625" customWidth="1"/>
    <col min="16" max="16" width="14.21875" customWidth="1"/>
    <col min="17" max="17" width="35.77734375" bestFit="1" customWidth="1"/>
    <col min="18" max="18" width="57.109375" customWidth="1"/>
    <col min="19" max="19" width="50.33203125" customWidth="1"/>
    <col min="20" max="20" width="57.109375" customWidth="1"/>
    <col min="21" max="21" width="75.5546875" bestFit="1" customWidth="1"/>
    <col min="22" max="22" width="57.109375" customWidth="1"/>
    <col min="23" max="23" width="49.5546875" bestFit="1" customWidth="1"/>
  </cols>
  <sheetData>
    <row r="1" spans="1:23" ht="39.6" x14ac:dyDescent="0.25">
      <c r="A1" s="19" t="s">
        <v>3</v>
      </c>
      <c r="B1" s="19" t="s">
        <v>4</v>
      </c>
      <c r="C1" s="19" t="s">
        <v>5</v>
      </c>
      <c r="D1" s="59" t="s">
        <v>6</v>
      </c>
      <c r="E1" s="19" t="s">
        <v>7</v>
      </c>
      <c r="F1" s="19" t="s">
        <v>8</v>
      </c>
      <c r="G1" s="19" t="s">
        <v>121</v>
      </c>
      <c r="H1" s="19" t="s">
        <v>122</v>
      </c>
      <c r="I1" s="19" t="s">
        <v>123</v>
      </c>
      <c r="J1" s="19" t="s">
        <v>9</v>
      </c>
      <c r="K1" s="19" t="s">
        <v>129</v>
      </c>
      <c r="L1" s="19" t="s">
        <v>130</v>
      </c>
      <c r="M1" s="19" t="s">
        <v>131</v>
      </c>
      <c r="N1" s="19" t="s">
        <v>132</v>
      </c>
      <c r="O1" s="19" t="s">
        <v>133</v>
      </c>
      <c r="P1" s="19" t="s">
        <v>134</v>
      </c>
      <c r="Q1" s="19" t="s">
        <v>107</v>
      </c>
      <c r="R1" s="19" t="s">
        <v>108</v>
      </c>
      <c r="S1" s="19" t="s">
        <v>109</v>
      </c>
      <c r="T1" s="19" t="s">
        <v>110</v>
      </c>
      <c r="U1" s="19" t="s">
        <v>14</v>
      </c>
      <c r="V1" s="19" t="s">
        <v>15</v>
      </c>
      <c r="W1" s="19" t="s">
        <v>16</v>
      </c>
    </row>
    <row r="2" spans="1:23" ht="26.4" x14ac:dyDescent="0.25">
      <c r="A2" s="17">
        <v>52</v>
      </c>
      <c r="B2" s="17" t="s">
        <v>20</v>
      </c>
      <c r="C2" s="17" t="s">
        <v>21</v>
      </c>
      <c r="D2" s="17" t="s">
        <v>19</v>
      </c>
      <c r="E2" s="17" t="s">
        <v>22</v>
      </c>
      <c r="F2" s="17" t="s">
        <v>23</v>
      </c>
      <c r="G2" s="17">
        <v>0</v>
      </c>
      <c r="H2" s="17">
        <v>0</v>
      </c>
      <c r="I2" s="17">
        <v>1</v>
      </c>
      <c r="J2" s="44" t="s">
        <v>24</v>
      </c>
      <c r="K2" s="17"/>
      <c r="L2" s="17"/>
      <c r="M2" s="17">
        <v>1</v>
      </c>
      <c r="N2" s="17">
        <v>1</v>
      </c>
      <c r="O2" s="17">
        <v>1</v>
      </c>
      <c r="P2" s="17">
        <v>1</v>
      </c>
      <c r="Q2" s="17" t="s">
        <v>19</v>
      </c>
      <c r="R2" s="17" t="s">
        <v>19</v>
      </c>
      <c r="S2" s="17" t="s">
        <v>19</v>
      </c>
      <c r="T2" s="17" t="s">
        <v>19</v>
      </c>
      <c r="U2" s="17"/>
      <c r="V2" s="17" t="s">
        <v>25</v>
      </c>
      <c r="W2" s="17" t="s">
        <v>26</v>
      </c>
    </row>
    <row r="3" spans="1:23" x14ac:dyDescent="0.25">
      <c r="A3" s="5">
        <v>26</v>
      </c>
      <c r="B3" s="5" t="s">
        <v>20</v>
      </c>
      <c r="C3" s="5" t="s">
        <v>28</v>
      </c>
      <c r="D3" s="5" t="s">
        <v>29</v>
      </c>
      <c r="E3" s="5" t="s">
        <v>30</v>
      </c>
      <c r="F3" s="5" t="s">
        <v>31</v>
      </c>
      <c r="G3" s="5">
        <v>1</v>
      </c>
      <c r="H3" s="5">
        <v>0</v>
      </c>
      <c r="I3" s="5">
        <v>1</v>
      </c>
      <c r="J3" s="45" t="s">
        <v>32</v>
      </c>
      <c r="K3" s="5">
        <v>1</v>
      </c>
      <c r="L3" s="5">
        <v>1</v>
      </c>
      <c r="M3" s="5"/>
      <c r="N3" s="5"/>
      <c r="O3" s="5"/>
      <c r="P3" s="5"/>
      <c r="Q3" s="5" t="s">
        <v>33</v>
      </c>
      <c r="R3" s="5" t="s">
        <v>33</v>
      </c>
      <c r="S3" s="5" t="s">
        <v>33</v>
      </c>
      <c r="T3" s="5" t="s">
        <v>19</v>
      </c>
      <c r="U3" s="5"/>
      <c r="V3" s="5" t="s">
        <v>34</v>
      </c>
      <c r="W3" s="5"/>
    </row>
    <row r="4" spans="1:23" x14ac:dyDescent="0.25">
      <c r="A4" s="17">
        <v>27</v>
      </c>
      <c r="B4" s="17" t="s">
        <v>20</v>
      </c>
      <c r="C4" s="17" t="s">
        <v>36</v>
      </c>
      <c r="D4" s="17" t="s">
        <v>19</v>
      </c>
      <c r="E4" s="17" t="s">
        <v>30</v>
      </c>
      <c r="F4" s="17" t="s">
        <v>37</v>
      </c>
      <c r="G4" s="17">
        <v>1</v>
      </c>
      <c r="H4" s="17">
        <v>0</v>
      </c>
      <c r="I4" s="17">
        <v>0</v>
      </c>
      <c r="J4" s="44" t="s">
        <v>38</v>
      </c>
      <c r="K4" s="17">
        <v>1</v>
      </c>
      <c r="L4" s="17"/>
      <c r="M4" s="17">
        <v>1</v>
      </c>
      <c r="N4" s="17"/>
      <c r="O4" s="17">
        <v>1</v>
      </c>
      <c r="P4" s="17"/>
      <c r="Q4" s="17" t="s">
        <v>19</v>
      </c>
      <c r="R4" s="17" t="s">
        <v>19</v>
      </c>
      <c r="S4" s="17" t="s">
        <v>33</v>
      </c>
      <c r="T4" s="17" t="s">
        <v>33</v>
      </c>
      <c r="U4" s="17"/>
      <c r="V4" s="17" t="s">
        <v>34</v>
      </c>
      <c r="W4" s="17"/>
    </row>
    <row r="5" spans="1:23" x14ac:dyDescent="0.25">
      <c r="A5" s="5">
        <v>29</v>
      </c>
      <c r="B5" s="5" t="s">
        <v>20</v>
      </c>
      <c r="C5" s="5" t="s">
        <v>36</v>
      </c>
      <c r="D5" s="5" t="s">
        <v>19</v>
      </c>
      <c r="E5" s="5" t="s">
        <v>22</v>
      </c>
      <c r="F5" s="5" t="s">
        <v>37</v>
      </c>
      <c r="G5" s="5">
        <v>1</v>
      </c>
      <c r="H5" s="5">
        <v>0</v>
      </c>
      <c r="I5" s="5">
        <v>0</v>
      </c>
      <c r="J5" s="45" t="s">
        <v>40</v>
      </c>
      <c r="K5" s="5">
        <v>1</v>
      </c>
      <c r="L5" s="5"/>
      <c r="M5" s="5"/>
      <c r="N5" s="5">
        <v>1</v>
      </c>
      <c r="O5" s="5"/>
      <c r="P5" s="5">
        <v>1</v>
      </c>
      <c r="Q5" s="5" t="s">
        <v>19</v>
      </c>
      <c r="R5" s="5" t="s">
        <v>19</v>
      </c>
      <c r="S5" s="5" t="s">
        <v>19</v>
      </c>
      <c r="T5" s="5" t="s">
        <v>19</v>
      </c>
      <c r="U5" s="5"/>
      <c r="V5" s="5" t="s">
        <v>41</v>
      </c>
      <c r="W5" s="5" t="s">
        <v>26</v>
      </c>
    </row>
    <row r="6" spans="1:23" x14ac:dyDescent="0.25">
      <c r="A6" s="17">
        <v>25</v>
      </c>
      <c r="B6" s="17" t="s">
        <v>43</v>
      </c>
      <c r="C6" s="17" t="s">
        <v>44</v>
      </c>
      <c r="D6" s="17" t="s">
        <v>19</v>
      </c>
      <c r="E6" s="17" t="s">
        <v>45</v>
      </c>
      <c r="F6" s="17" t="s">
        <v>37</v>
      </c>
      <c r="G6" s="17">
        <v>1</v>
      </c>
      <c r="H6" s="17">
        <v>0</v>
      </c>
      <c r="I6" s="17">
        <v>0</v>
      </c>
      <c r="J6" s="44" t="s">
        <v>46</v>
      </c>
      <c r="K6" s="17">
        <v>1</v>
      </c>
      <c r="L6" s="17">
        <v>1</v>
      </c>
      <c r="M6" s="17"/>
      <c r="N6" s="17">
        <v>1</v>
      </c>
      <c r="O6" s="17"/>
      <c r="P6" s="17">
        <v>1</v>
      </c>
      <c r="Q6" s="17" t="s">
        <v>19</v>
      </c>
      <c r="R6" s="17" t="s">
        <v>19</v>
      </c>
      <c r="S6" s="17" t="s">
        <v>19</v>
      </c>
      <c r="T6" s="17" t="s">
        <v>47</v>
      </c>
      <c r="U6" s="17"/>
      <c r="V6" s="17" t="s">
        <v>34</v>
      </c>
      <c r="W6" s="17"/>
    </row>
    <row r="7" spans="1:23" ht="26.4" x14ac:dyDescent="0.25">
      <c r="A7" s="5">
        <v>54</v>
      </c>
      <c r="B7" s="5" t="s">
        <v>20</v>
      </c>
      <c r="C7" s="5" t="s">
        <v>36</v>
      </c>
      <c r="D7" s="5" t="s">
        <v>19</v>
      </c>
      <c r="E7" s="5" t="s">
        <v>49</v>
      </c>
      <c r="F7" s="5" t="s">
        <v>37</v>
      </c>
      <c r="G7" s="5">
        <v>1</v>
      </c>
      <c r="H7" s="5">
        <v>0</v>
      </c>
      <c r="I7" s="5">
        <v>0</v>
      </c>
      <c r="J7" s="45" t="s">
        <v>50</v>
      </c>
      <c r="K7" s="5">
        <v>1</v>
      </c>
      <c r="L7" s="5">
        <v>1</v>
      </c>
      <c r="M7" s="5"/>
      <c r="N7" s="5">
        <v>1</v>
      </c>
      <c r="O7" s="5"/>
      <c r="P7" s="5">
        <v>1</v>
      </c>
      <c r="Q7" s="5" t="s">
        <v>19</v>
      </c>
      <c r="R7" s="5" t="s">
        <v>47</v>
      </c>
      <c r="S7" s="5" t="s">
        <v>19</v>
      </c>
      <c r="T7" s="5" t="s">
        <v>19</v>
      </c>
      <c r="U7" s="5"/>
      <c r="V7" s="5" t="s">
        <v>25</v>
      </c>
      <c r="W7" s="5" t="s">
        <v>26</v>
      </c>
    </row>
    <row r="8" spans="1:23" ht="26.4" x14ac:dyDescent="0.25">
      <c r="A8" s="17">
        <v>30</v>
      </c>
      <c r="B8" s="17" t="s">
        <v>52</v>
      </c>
      <c r="C8" s="17" t="s">
        <v>44</v>
      </c>
      <c r="D8" s="17" t="s">
        <v>19</v>
      </c>
      <c r="E8" s="17" t="s">
        <v>22</v>
      </c>
      <c r="F8" s="17" t="s">
        <v>53</v>
      </c>
      <c r="G8" s="17">
        <v>1</v>
      </c>
      <c r="H8" s="17">
        <v>1</v>
      </c>
      <c r="I8" s="17">
        <v>1</v>
      </c>
      <c r="J8" s="44" t="s">
        <v>54</v>
      </c>
      <c r="K8" s="17">
        <v>1</v>
      </c>
      <c r="L8" s="17">
        <v>1</v>
      </c>
      <c r="M8" s="17">
        <v>1</v>
      </c>
      <c r="N8" s="17">
        <v>1</v>
      </c>
      <c r="O8" s="17">
        <v>1</v>
      </c>
      <c r="P8" s="17">
        <v>1</v>
      </c>
      <c r="Q8" s="17" t="s">
        <v>19</v>
      </c>
      <c r="R8" s="17" t="s">
        <v>19</v>
      </c>
      <c r="S8" s="17" t="s">
        <v>19</v>
      </c>
      <c r="T8" s="17" t="s">
        <v>19</v>
      </c>
      <c r="U8" s="17" t="s">
        <v>55</v>
      </c>
      <c r="V8" s="17" t="s">
        <v>34</v>
      </c>
      <c r="W8" s="17"/>
    </row>
    <row r="9" spans="1:23" x14ac:dyDescent="0.25">
      <c r="A9" s="5">
        <v>35</v>
      </c>
      <c r="B9" s="5" t="s">
        <v>43</v>
      </c>
      <c r="C9" s="5" t="s">
        <v>28</v>
      </c>
      <c r="D9" s="5" t="s">
        <v>29</v>
      </c>
      <c r="E9" s="5" t="s">
        <v>30</v>
      </c>
      <c r="F9" s="5" t="s">
        <v>37</v>
      </c>
      <c r="G9" s="5">
        <v>1</v>
      </c>
      <c r="H9" s="5">
        <v>0</v>
      </c>
      <c r="I9" s="5">
        <v>0</v>
      </c>
      <c r="J9" s="45" t="s">
        <v>57</v>
      </c>
      <c r="K9" s="5"/>
      <c r="L9" s="5"/>
      <c r="M9" s="5"/>
      <c r="N9" s="5">
        <v>1</v>
      </c>
      <c r="O9" s="5">
        <v>1</v>
      </c>
      <c r="P9" s="5"/>
      <c r="Q9" s="5" t="s">
        <v>19</v>
      </c>
      <c r="R9" s="5" t="s">
        <v>33</v>
      </c>
      <c r="S9" s="5" t="s">
        <v>19</v>
      </c>
      <c r="T9" s="5" t="s">
        <v>19</v>
      </c>
      <c r="U9" s="5"/>
      <c r="V9" s="5" t="s">
        <v>25</v>
      </c>
      <c r="W9" s="5" t="s">
        <v>58</v>
      </c>
    </row>
    <row r="10" spans="1:23" x14ac:dyDescent="0.25">
      <c r="A10" s="17">
        <v>26</v>
      </c>
      <c r="B10" s="17" t="s">
        <v>43</v>
      </c>
      <c r="C10" s="17" t="s">
        <v>28</v>
      </c>
      <c r="D10" s="17" t="s">
        <v>19</v>
      </c>
      <c r="E10" s="17" t="s">
        <v>22</v>
      </c>
      <c r="F10" s="17" t="s">
        <v>31</v>
      </c>
      <c r="G10" s="17">
        <v>1</v>
      </c>
      <c r="H10" s="17">
        <v>0</v>
      </c>
      <c r="I10" s="17">
        <v>1</v>
      </c>
      <c r="J10" s="44" t="s">
        <v>61</v>
      </c>
      <c r="K10" s="17"/>
      <c r="L10" s="17"/>
      <c r="M10" s="17">
        <v>1</v>
      </c>
      <c r="N10" s="17"/>
      <c r="O10" s="17">
        <v>1</v>
      </c>
      <c r="P10" s="17">
        <v>1</v>
      </c>
      <c r="Q10" s="17" t="s">
        <v>19</v>
      </c>
      <c r="R10" s="17" t="s">
        <v>19</v>
      </c>
      <c r="S10" s="17" t="s">
        <v>33</v>
      </c>
      <c r="T10" s="17" t="s">
        <v>19</v>
      </c>
      <c r="U10" s="17"/>
      <c r="V10" s="17" t="s">
        <v>25</v>
      </c>
      <c r="W10" s="17" t="s">
        <v>26</v>
      </c>
    </row>
    <row r="11" spans="1:23" x14ac:dyDescent="0.25">
      <c r="A11" s="5">
        <v>38</v>
      </c>
      <c r="B11" s="5" t="s">
        <v>43</v>
      </c>
      <c r="C11" s="5" t="s">
        <v>36</v>
      </c>
      <c r="D11" s="5" t="s">
        <v>19</v>
      </c>
      <c r="E11" s="5" t="s">
        <v>30</v>
      </c>
      <c r="F11" s="5" t="s">
        <v>63</v>
      </c>
      <c r="G11" s="5">
        <v>0</v>
      </c>
      <c r="H11" s="5">
        <v>1</v>
      </c>
      <c r="I11" s="5">
        <v>1</v>
      </c>
      <c r="J11" s="45" t="s">
        <v>64</v>
      </c>
      <c r="K11" s="5">
        <v>1</v>
      </c>
      <c r="L11" s="5"/>
      <c r="M11" s="5"/>
      <c r="N11" s="5"/>
      <c r="O11" s="5">
        <v>1</v>
      </c>
      <c r="P11" s="5"/>
      <c r="Q11" s="5" t="s">
        <v>19</v>
      </c>
      <c r="R11" s="5" t="s">
        <v>19</v>
      </c>
      <c r="S11" s="5" t="s">
        <v>19</v>
      </c>
      <c r="T11" s="5" t="s">
        <v>47</v>
      </c>
      <c r="U11" s="5"/>
      <c r="V11" s="5" t="s">
        <v>34</v>
      </c>
      <c r="W11" s="5"/>
    </row>
    <row r="12" spans="1:23" x14ac:dyDescent="0.25">
      <c r="A12" s="17">
        <v>43</v>
      </c>
      <c r="B12" s="17" t="s">
        <v>20</v>
      </c>
      <c r="C12" s="17" t="s">
        <v>44</v>
      </c>
      <c r="D12" s="17" t="s">
        <v>19</v>
      </c>
      <c r="E12" s="17" t="s">
        <v>49</v>
      </c>
      <c r="F12" s="17" t="s">
        <v>37</v>
      </c>
      <c r="G12" s="17">
        <v>1</v>
      </c>
      <c r="H12" s="17">
        <v>0</v>
      </c>
      <c r="I12" s="17">
        <v>0</v>
      </c>
      <c r="J12" s="44" t="s">
        <v>66</v>
      </c>
      <c r="K12" s="17"/>
      <c r="L12" s="17">
        <v>1</v>
      </c>
      <c r="M12" s="17">
        <v>1</v>
      </c>
      <c r="N12" s="17">
        <v>1</v>
      </c>
      <c r="O12" s="17"/>
      <c r="P12" s="17"/>
      <c r="Q12" s="17" t="s">
        <v>19</v>
      </c>
      <c r="R12" s="17" t="s">
        <v>19</v>
      </c>
      <c r="S12" s="17" t="s">
        <v>19</v>
      </c>
      <c r="T12" s="17" t="s">
        <v>33</v>
      </c>
      <c r="U12" s="17" t="s">
        <v>67</v>
      </c>
      <c r="V12" s="17" t="s">
        <v>41</v>
      </c>
      <c r="W12" s="17" t="s">
        <v>26</v>
      </c>
    </row>
    <row r="13" spans="1:23" x14ac:dyDescent="0.25">
      <c r="A13" s="5">
        <v>30</v>
      </c>
      <c r="B13" s="5" t="s">
        <v>20</v>
      </c>
      <c r="C13" s="5" t="s">
        <v>36</v>
      </c>
      <c r="D13" s="5" t="s">
        <v>19</v>
      </c>
      <c r="E13" s="5" t="s">
        <v>30</v>
      </c>
      <c r="F13" s="5" t="s">
        <v>69</v>
      </c>
      <c r="G13" s="5">
        <v>0</v>
      </c>
      <c r="H13" s="5">
        <v>1</v>
      </c>
      <c r="I13" s="5">
        <v>0</v>
      </c>
      <c r="J13" s="45" t="s">
        <v>70</v>
      </c>
      <c r="K13" s="5">
        <v>1</v>
      </c>
      <c r="L13" s="5"/>
      <c r="M13" s="5"/>
      <c r="N13" s="5">
        <v>1</v>
      </c>
      <c r="O13" s="5"/>
      <c r="P13" s="5">
        <v>1</v>
      </c>
      <c r="Q13" s="5" t="s">
        <v>33</v>
      </c>
      <c r="R13" s="5" t="s">
        <v>33</v>
      </c>
      <c r="S13" s="5" t="s">
        <v>19</v>
      </c>
      <c r="T13" s="5" t="s">
        <v>19</v>
      </c>
      <c r="U13" s="14"/>
      <c r="V13" s="5" t="s">
        <v>34</v>
      </c>
      <c r="W13" s="14"/>
    </row>
    <row r="14" spans="1:23" x14ac:dyDescent="0.25">
      <c r="A14" s="17">
        <v>34</v>
      </c>
      <c r="B14" s="17" t="s">
        <v>20</v>
      </c>
      <c r="C14" s="17" t="s">
        <v>36</v>
      </c>
      <c r="D14" s="17" t="s">
        <v>19</v>
      </c>
      <c r="E14" s="17" t="s">
        <v>45</v>
      </c>
      <c r="F14" s="17" t="s">
        <v>37</v>
      </c>
      <c r="G14" s="17">
        <v>1</v>
      </c>
      <c r="H14" s="17">
        <v>0</v>
      </c>
      <c r="I14" s="17">
        <v>0</v>
      </c>
      <c r="J14" s="44" t="s">
        <v>72</v>
      </c>
      <c r="K14" s="17">
        <v>1</v>
      </c>
      <c r="L14" s="17"/>
      <c r="M14" s="17"/>
      <c r="N14" s="17">
        <v>1</v>
      </c>
      <c r="O14" s="17"/>
      <c r="P14" s="17">
        <v>1</v>
      </c>
      <c r="Q14" s="17" t="s">
        <v>19</v>
      </c>
      <c r="R14" s="17" t="s">
        <v>47</v>
      </c>
      <c r="S14" s="17" t="s">
        <v>47</v>
      </c>
      <c r="T14" s="17" t="s">
        <v>19</v>
      </c>
      <c r="U14" s="17" t="s">
        <v>73</v>
      </c>
      <c r="V14" s="17" t="s">
        <v>34</v>
      </c>
      <c r="W14" s="15"/>
    </row>
    <row r="15" spans="1:23" x14ac:dyDescent="0.25">
      <c r="A15" s="5">
        <v>32</v>
      </c>
      <c r="B15" s="5" t="s">
        <v>20</v>
      </c>
      <c r="C15" s="5" t="s">
        <v>36</v>
      </c>
      <c r="D15" s="5" t="s">
        <v>19</v>
      </c>
      <c r="E15" s="5" t="s">
        <v>30</v>
      </c>
      <c r="F15" s="5" t="s">
        <v>37</v>
      </c>
      <c r="G15" s="5">
        <v>1</v>
      </c>
      <c r="H15" s="5">
        <v>0</v>
      </c>
      <c r="I15" s="5">
        <v>0</v>
      </c>
      <c r="J15" s="45" t="s">
        <v>75</v>
      </c>
      <c r="K15" s="5"/>
      <c r="L15" s="5">
        <v>1</v>
      </c>
      <c r="M15" s="5"/>
      <c r="N15" s="5">
        <v>1</v>
      </c>
      <c r="O15" s="5">
        <v>1</v>
      </c>
      <c r="P15" s="5"/>
      <c r="Q15" s="5" t="s">
        <v>19</v>
      </c>
      <c r="R15" s="5" t="s">
        <v>19</v>
      </c>
      <c r="S15" s="5" t="s">
        <v>33</v>
      </c>
      <c r="T15" s="5" t="s">
        <v>19</v>
      </c>
      <c r="U15" s="14"/>
      <c r="V15" s="5" t="s">
        <v>76</v>
      </c>
      <c r="W15" s="5" t="s">
        <v>58</v>
      </c>
    </row>
    <row r="16" spans="1:23" ht="26.4" x14ac:dyDescent="0.25">
      <c r="A16" s="17">
        <v>35</v>
      </c>
      <c r="B16" s="17" t="s">
        <v>20</v>
      </c>
      <c r="C16" s="17" t="s">
        <v>36</v>
      </c>
      <c r="D16" s="17" t="s">
        <v>19</v>
      </c>
      <c r="E16" s="17" t="s">
        <v>30</v>
      </c>
      <c r="F16" s="17" t="s">
        <v>37</v>
      </c>
      <c r="G16" s="17">
        <v>1</v>
      </c>
      <c r="H16" s="17">
        <v>0</v>
      </c>
      <c r="I16" s="17">
        <v>0</v>
      </c>
      <c r="J16" s="44" t="s">
        <v>78</v>
      </c>
      <c r="K16" s="17">
        <v>1</v>
      </c>
      <c r="L16" s="17"/>
      <c r="M16" s="17">
        <v>1</v>
      </c>
      <c r="N16" s="17">
        <v>1</v>
      </c>
      <c r="O16" s="17">
        <v>1</v>
      </c>
      <c r="P16" s="17">
        <v>1</v>
      </c>
      <c r="Q16" s="17" t="s">
        <v>19</v>
      </c>
      <c r="R16" s="17" t="s">
        <v>19</v>
      </c>
      <c r="S16" s="17" t="s">
        <v>33</v>
      </c>
      <c r="T16" s="17" t="s">
        <v>19</v>
      </c>
      <c r="U16" s="15"/>
      <c r="V16" s="17" t="s">
        <v>25</v>
      </c>
      <c r="W16" s="17" t="s">
        <v>26</v>
      </c>
    </row>
    <row r="17" spans="1:23" x14ac:dyDescent="0.25">
      <c r="A17" s="5">
        <v>45</v>
      </c>
      <c r="B17" s="5" t="s">
        <v>20</v>
      </c>
      <c r="C17" s="5" t="s">
        <v>36</v>
      </c>
      <c r="D17" s="5" t="s">
        <v>19</v>
      </c>
      <c r="E17" s="5" t="s">
        <v>49</v>
      </c>
      <c r="F17" s="5" t="s">
        <v>31</v>
      </c>
      <c r="G17" s="5">
        <v>1</v>
      </c>
      <c r="H17" s="5">
        <v>0</v>
      </c>
      <c r="I17" s="5">
        <v>1</v>
      </c>
      <c r="J17" s="45" t="s">
        <v>46</v>
      </c>
      <c r="K17" s="5"/>
      <c r="L17" s="5"/>
      <c r="M17" s="5">
        <v>1</v>
      </c>
      <c r="N17" s="5">
        <v>1</v>
      </c>
      <c r="O17" s="5"/>
      <c r="P17" s="5">
        <v>1</v>
      </c>
      <c r="Q17" s="5" t="s">
        <v>19</v>
      </c>
      <c r="R17" s="5" t="s">
        <v>19</v>
      </c>
      <c r="S17" s="5" t="s">
        <v>19</v>
      </c>
      <c r="T17" s="5" t="s">
        <v>19</v>
      </c>
      <c r="U17" s="14"/>
      <c r="V17" s="5" t="s">
        <v>25</v>
      </c>
      <c r="W17" s="5" t="s">
        <v>26</v>
      </c>
    </row>
    <row r="18" spans="1:23" x14ac:dyDescent="0.25">
      <c r="A18" s="17">
        <v>38</v>
      </c>
      <c r="B18" s="17" t="s">
        <v>43</v>
      </c>
      <c r="C18" s="17" t="s">
        <v>21</v>
      </c>
      <c r="D18" s="17" t="s">
        <v>47</v>
      </c>
      <c r="E18" s="17" t="s">
        <v>30</v>
      </c>
      <c r="F18" s="17" t="s">
        <v>69</v>
      </c>
      <c r="G18" s="17">
        <v>0</v>
      </c>
      <c r="H18" s="17">
        <v>1</v>
      </c>
      <c r="I18" s="17">
        <v>0</v>
      </c>
      <c r="J18" s="44" t="s">
        <v>81</v>
      </c>
      <c r="K18" s="17"/>
      <c r="L18" s="17"/>
      <c r="M18" s="17">
        <v>1</v>
      </c>
      <c r="N18" s="17"/>
      <c r="O18" s="17"/>
      <c r="P18" s="17"/>
      <c r="Q18" s="17" t="s">
        <v>19</v>
      </c>
      <c r="R18" s="17" t="s">
        <v>33</v>
      </c>
      <c r="S18" s="17" t="s">
        <v>47</v>
      </c>
      <c r="T18" s="17" t="s">
        <v>19</v>
      </c>
      <c r="U18" s="15"/>
      <c r="V18" s="17" t="s">
        <v>25</v>
      </c>
      <c r="W18" s="17" t="s">
        <v>26</v>
      </c>
    </row>
    <row r="19" spans="1:23" ht="26.4" x14ac:dyDescent="0.25">
      <c r="A19" s="5">
        <v>45</v>
      </c>
      <c r="B19" s="5" t="s">
        <v>20</v>
      </c>
      <c r="C19" s="5" t="s">
        <v>36</v>
      </c>
      <c r="D19" s="5" t="s">
        <v>19</v>
      </c>
      <c r="E19" s="5" t="s">
        <v>22</v>
      </c>
      <c r="F19" s="5" t="s">
        <v>83</v>
      </c>
      <c r="G19" s="5">
        <v>1</v>
      </c>
      <c r="H19" s="5">
        <v>1</v>
      </c>
      <c r="I19" s="5">
        <v>1</v>
      </c>
      <c r="J19" s="45" t="s">
        <v>84</v>
      </c>
      <c r="K19" s="5"/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 t="s">
        <v>19</v>
      </c>
      <c r="R19" s="5" t="s">
        <v>33</v>
      </c>
      <c r="S19" s="5" t="s">
        <v>19</v>
      </c>
      <c r="T19" s="5" t="s">
        <v>19</v>
      </c>
      <c r="U19" s="14"/>
      <c r="V19" s="5" t="s">
        <v>34</v>
      </c>
      <c r="W19" s="14"/>
    </row>
    <row r="20" spans="1:23" x14ac:dyDescent="0.25">
      <c r="A20" s="17">
        <v>35</v>
      </c>
      <c r="B20" s="17" t="s">
        <v>20</v>
      </c>
      <c r="C20" s="17" t="s">
        <v>36</v>
      </c>
      <c r="D20" s="17" t="s">
        <v>19</v>
      </c>
      <c r="E20" s="17" t="s">
        <v>86</v>
      </c>
      <c r="F20" s="17" t="s">
        <v>87</v>
      </c>
      <c r="G20" s="17">
        <v>1</v>
      </c>
      <c r="H20" s="17">
        <v>1</v>
      </c>
      <c r="I20" s="17">
        <v>1</v>
      </c>
      <c r="J20" s="44" t="s">
        <v>88</v>
      </c>
      <c r="K20" s="17"/>
      <c r="L20" s="17">
        <v>1</v>
      </c>
      <c r="M20" s="17">
        <v>1</v>
      </c>
      <c r="N20" s="17"/>
      <c r="O20" s="17">
        <v>1</v>
      </c>
      <c r="P20" s="17"/>
      <c r="Q20" s="17" t="s">
        <v>19</v>
      </c>
      <c r="R20" s="17" t="s">
        <v>19</v>
      </c>
      <c r="S20" s="17" t="s">
        <v>33</v>
      </c>
      <c r="T20" s="17" t="s">
        <v>47</v>
      </c>
      <c r="U20" s="15"/>
      <c r="V20" s="17" t="s">
        <v>25</v>
      </c>
      <c r="W20" s="17" t="s">
        <v>26</v>
      </c>
    </row>
    <row r="21" spans="1:23" ht="26.4" x14ac:dyDescent="0.25">
      <c r="A21" s="5">
        <v>31</v>
      </c>
      <c r="B21" s="5" t="s">
        <v>20</v>
      </c>
      <c r="C21" s="5" t="s">
        <v>36</v>
      </c>
      <c r="D21" s="5" t="s">
        <v>19</v>
      </c>
      <c r="E21" s="5" t="s">
        <v>90</v>
      </c>
      <c r="F21" s="5" t="s">
        <v>37</v>
      </c>
      <c r="G21" s="5">
        <v>1</v>
      </c>
      <c r="H21" s="5">
        <v>0</v>
      </c>
      <c r="I21" s="5">
        <v>0</v>
      </c>
      <c r="J21" s="45" t="s">
        <v>91</v>
      </c>
      <c r="K21" s="5">
        <v>1</v>
      </c>
      <c r="L21" s="5">
        <v>1</v>
      </c>
      <c r="M21" s="5">
        <v>1</v>
      </c>
      <c r="N21" s="5">
        <v>1</v>
      </c>
      <c r="O21" s="5"/>
      <c r="P21" s="5">
        <v>1</v>
      </c>
      <c r="Q21" s="5" t="s">
        <v>19</v>
      </c>
      <c r="R21" s="5" t="s">
        <v>19</v>
      </c>
      <c r="S21" s="5" t="s">
        <v>33</v>
      </c>
      <c r="T21" s="5" t="s">
        <v>33</v>
      </c>
      <c r="U21" s="14"/>
      <c r="V21" s="5" t="s">
        <v>34</v>
      </c>
      <c r="W21" s="14"/>
    </row>
    <row r="22" spans="1:23" x14ac:dyDescent="0.25">
      <c r="A22" s="17">
        <v>55</v>
      </c>
      <c r="B22" s="17" t="s">
        <v>20</v>
      </c>
      <c r="C22" s="17" t="s">
        <v>36</v>
      </c>
      <c r="D22" s="17" t="s">
        <v>29</v>
      </c>
      <c r="E22" s="17" t="s">
        <v>30</v>
      </c>
      <c r="F22" s="17" t="s">
        <v>37</v>
      </c>
      <c r="G22" s="17">
        <v>1</v>
      </c>
      <c r="H22" s="17">
        <v>0</v>
      </c>
      <c r="I22" s="17">
        <v>0</v>
      </c>
      <c r="J22" s="44" t="s">
        <v>93</v>
      </c>
      <c r="K22" s="17"/>
      <c r="L22" s="17"/>
      <c r="M22" s="17">
        <v>1</v>
      </c>
      <c r="N22" s="17">
        <v>1</v>
      </c>
      <c r="O22" s="17">
        <v>1</v>
      </c>
      <c r="P22" s="17"/>
      <c r="Q22" s="17" t="s">
        <v>19</v>
      </c>
      <c r="R22" s="17" t="s">
        <v>47</v>
      </c>
      <c r="S22" s="17" t="s">
        <v>19</v>
      </c>
      <c r="T22" s="17" t="s">
        <v>47</v>
      </c>
      <c r="U22" s="15"/>
      <c r="V22" s="17" t="s">
        <v>41</v>
      </c>
      <c r="W22" s="17" t="s">
        <v>58</v>
      </c>
    </row>
    <row r="23" spans="1:23" x14ac:dyDescent="0.25">
      <c r="A23" s="20">
        <v>35</v>
      </c>
      <c r="B23" s="5" t="s">
        <v>20</v>
      </c>
      <c r="C23" s="5" t="s">
        <v>36</v>
      </c>
      <c r="D23" s="5" t="s">
        <v>19</v>
      </c>
      <c r="E23" s="5" t="s">
        <v>30</v>
      </c>
      <c r="F23" s="5" t="s">
        <v>37</v>
      </c>
      <c r="G23" s="5">
        <v>1</v>
      </c>
      <c r="H23" s="5">
        <v>0</v>
      </c>
      <c r="I23" s="5">
        <v>0</v>
      </c>
      <c r="J23" s="45" t="s">
        <v>95</v>
      </c>
      <c r="K23" s="5">
        <v>1</v>
      </c>
      <c r="L23" s="5"/>
      <c r="M23" s="5"/>
      <c r="N23" s="5"/>
      <c r="O23" s="5"/>
      <c r="P23" s="5">
        <v>1</v>
      </c>
      <c r="Q23" s="5" t="s">
        <v>47</v>
      </c>
      <c r="R23" s="5" t="s">
        <v>47</v>
      </c>
      <c r="S23" s="5" t="s">
        <v>19</v>
      </c>
      <c r="T23" s="5" t="s">
        <v>47</v>
      </c>
      <c r="U23" s="14"/>
      <c r="V23" s="5" t="s">
        <v>41</v>
      </c>
      <c r="W23" s="5" t="s">
        <v>26</v>
      </c>
    </row>
    <row r="24" spans="1:23" x14ac:dyDescent="0.25">
      <c r="A24" s="5">
        <v>44</v>
      </c>
      <c r="B24" s="5" t="s">
        <v>20</v>
      </c>
      <c r="C24" s="5" t="s">
        <v>21</v>
      </c>
      <c r="D24" s="5" t="s">
        <v>19</v>
      </c>
      <c r="E24" s="5" t="s">
        <v>22</v>
      </c>
      <c r="F24" s="5" t="s">
        <v>69</v>
      </c>
      <c r="G24" s="41">
        <v>0</v>
      </c>
      <c r="H24" s="41">
        <v>1</v>
      </c>
      <c r="I24" s="41">
        <v>0</v>
      </c>
      <c r="J24" s="46" t="s">
        <v>126</v>
      </c>
      <c r="K24" s="14">
        <v>1</v>
      </c>
      <c r="L24" s="14"/>
      <c r="M24" s="14">
        <v>1</v>
      </c>
      <c r="N24" s="14">
        <v>1</v>
      </c>
      <c r="O24" s="14"/>
      <c r="P24" s="14">
        <v>1</v>
      </c>
      <c r="Q24" s="5" t="s">
        <v>33</v>
      </c>
      <c r="R24" s="5" t="s">
        <v>33</v>
      </c>
      <c r="S24" s="5" t="s">
        <v>33</v>
      </c>
      <c r="T24" s="5" t="s">
        <v>33</v>
      </c>
      <c r="U24" s="14"/>
      <c r="V24" s="5" t="s">
        <v>34</v>
      </c>
      <c r="W24" s="14"/>
    </row>
    <row r="25" spans="1:23" ht="26.4" x14ac:dyDescent="0.25">
      <c r="A25" s="17">
        <v>35</v>
      </c>
      <c r="B25" s="17" t="s">
        <v>20</v>
      </c>
      <c r="C25" s="17" t="s">
        <v>36</v>
      </c>
      <c r="D25" s="17" t="s">
        <v>19</v>
      </c>
      <c r="E25" s="17" t="s">
        <v>30</v>
      </c>
      <c r="F25" s="17" t="s">
        <v>69</v>
      </c>
      <c r="G25" s="17">
        <v>0</v>
      </c>
      <c r="H25" s="17">
        <v>1</v>
      </c>
      <c r="I25" s="17">
        <v>0</v>
      </c>
      <c r="J25" s="44" t="s">
        <v>24</v>
      </c>
      <c r="K25" s="17"/>
      <c r="L25" s="17"/>
      <c r="M25" s="17">
        <v>1</v>
      </c>
      <c r="N25" s="17">
        <v>1</v>
      </c>
      <c r="O25" s="17">
        <v>1</v>
      </c>
      <c r="P25" s="17">
        <v>1</v>
      </c>
      <c r="Q25" s="17" t="s">
        <v>19</v>
      </c>
      <c r="R25" s="17" t="s">
        <v>19</v>
      </c>
      <c r="S25" s="17" t="s">
        <v>47</v>
      </c>
      <c r="T25" s="17" t="s">
        <v>19</v>
      </c>
      <c r="U25" s="15"/>
      <c r="V25" s="17" t="s">
        <v>41</v>
      </c>
      <c r="W25" s="17" t="s">
        <v>26</v>
      </c>
    </row>
    <row r="26" spans="1:23" x14ac:dyDescent="0.25">
      <c r="A26" s="5">
        <v>37</v>
      </c>
      <c r="B26" s="5" t="s">
        <v>20</v>
      </c>
      <c r="C26" s="5" t="s">
        <v>28</v>
      </c>
      <c r="D26" s="5" t="s">
        <v>19</v>
      </c>
      <c r="E26" s="5" t="s">
        <v>49</v>
      </c>
      <c r="F26" s="5" t="s">
        <v>96</v>
      </c>
      <c r="G26" s="5">
        <v>0</v>
      </c>
      <c r="H26" s="5">
        <v>0</v>
      </c>
      <c r="I26" s="5">
        <v>1</v>
      </c>
      <c r="J26" s="45" t="s">
        <v>100</v>
      </c>
      <c r="K26" s="5">
        <v>1</v>
      </c>
      <c r="L26" s="5">
        <v>1</v>
      </c>
      <c r="M26" s="5"/>
      <c r="N26" s="5"/>
      <c r="O26" s="5"/>
      <c r="P26" s="5">
        <v>1</v>
      </c>
      <c r="Q26" s="5" t="s">
        <v>19</v>
      </c>
      <c r="R26" s="5" t="s">
        <v>19</v>
      </c>
      <c r="S26" s="5" t="s">
        <v>19</v>
      </c>
      <c r="T26" s="5" t="s">
        <v>47</v>
      </c>
      <c r="U26" s="14"/>
      <c r="V26" s="5" t="s">
        <v>34</v>
      </c>
      <c r="W26" s="14"/>
    </row>
    <row r="27" spans="1:23" x14ac:dyDescent="0.25">
      <c r="A27" s="17">
        <v>25</v>
      </c>
      <c r="B27" s="17" t="s">
        <v>43</v>
      </c>
      <c r="C27" s="17" t="s">
        <v>36</v>
      </c>
      <c r="D27" s="17" t="s">
        <v>19</v>
      </c>
      <c r="E27" s="17" t="s">
        <v>49</v>
      </c>
      <c r="F27" s="17" t="s">
        <v>37</v>
      </c>
      <c r="G27" s="17">
        <v>1</v>
      </c>
      <c r="H27" s="17">
        <v>0</v>
      </c>
      <c r="I27" s="17">
        <v>0</v>
      </c>
      <c r="J27" s="44" t="s">
        <v>102</v>
      </c>
      <c r="K27" s="17">
        <v>1</v>
      </c>
      <c r="L27" s="17"/>
      <c r="M27" s="17"/>
      <c r="N27" s="17"/>
      <c r="O27" s="17"/>
      <c r="P27" s="17"/>
      <c r="Q27" s="17" t="s">
        <v>33</v>
      </c>
      <c r="R27" s="17" t="s">
        <v>19</v>
      </c>
      <c r="S27" s="17" t="s">
        <v>19</v>
      </c>
      <c r="T27" s="17" t="s">
        <v>33</v>
      </c>
      <c r="U27" s="15"/>
      <c r="V27" s="17" t="s">
        <v>34</v>
      </c>
      <c r="W27" s="15"/>
    </row>
    <row r="28" spans="1:23" x14ac:dyDescent="0.25">
      <c r="A28" s="5">
        <v>35</v>
      </c>
      <c r="B28" s="5" t="s">
        <v>20</v>
      </c>
      <c r="C28" s="5" t="s">
        <v>21</v>
      </c>
      <c r="D28" s="5" t="s">
        <v>29</v>
      </c>
      <c r="E28" s="5" t="s">
        <v>49</v>
      </c>
      <c r="F28" s="5" t="s">
        <v>23</v>
      </c>
      <c r="G28" s="5">
        <v>0</v>
      </c>
      <c r="H28" s="5">
        <v>0</v>
      </c>
      <c r="I28" s="5">
        <v>1</v>
      </c>
      <c r="J28" s="45" t="s">
        <v>81</v>
      </c>
      <c r="K28" s="5"/>
      <c r="L28" s="5"/>
      <c r="M28" s="5">
        <v>1</v>
      </c>
      <c r="N28" s="5"/>
      <c r="O28" s="5"/>
      <c r="P28" s="5"/>
      <c r="Q28" s="5" t="s">
        <v>33</v>
      </c>
      <c r="R28" s="5" t="s">
        <v>47</v>
      </c>
      <c r="S28" s="5" t="s">
        <v>33</v>
      </c>
      <c r="T28" s="5" t="s">
        <v>47</v>
      </c>
      <c r="U28" s="14"/>
      <c r="V28" s="5" t="s">
        <v>34</v>
      </c>
      <c r="W28" s="14"/>
    </row>
    <row r="29" spans="1:23" x14ac:dyDescent="0.25">
      <c r="A29" s="17">
        <v>36</v>
      </c>
      <c r="B29" s="17" t="s">
        <v>43</v>
      </c>
      <c r="C29" s="17" t="s">
        <v>36</v>
      </c>
      <c r="D29" s="17" t="s">
        <v>47</v>
      </c>
      <c r="E29" s="17" t="s">
        <v>22</v>
      </c>
      <c r="F29" s="17" t="s">
        <v>37</v>
      </c>
      <c r="G29" s="17">
        <v>1</v>
      </c>
      <c r="H29" s="17">
        <v>0</v>
      </c>
      <c r="I29" s="17">
        <v>0</v>
      </c>
      <c r="J29" s="44" t="s">
        <v>40</v>
      </c>
      <c r="K29" s="17">
        <v>1</v>
      </c>
      <c r="L29" s="17"/>
      <c r="M29" s="17"/>
      <c r="N29" s="17">
        <v>1</v>
      </c>
      <c r="O29" s="17"/>
      <c r="P29" s="17"/>
      <c r="Q29" s="17" t="s">
        <v>33</v>
      </c>
      <c r="R29" s="17" t="s">
        <v>33</v>
      </c>
      <c r="S29" s="17" t="s">
        <v>33</v>
      </c>
      <c r="T29" s="17" t="s">
        <v>19</v>
      </c>
      <c r="U29" s="15"/>
      <c r="V29" s="17" t="s">
        <v>34</v>
      </c>
      <c r="W29" s="15"/>
    </row>
    <row r="30" spans="1:23" x14ac:dyDescent="0.25">
      <c r="A30" s="5">
        <v>23</v>
      </c>
      <c r="B30" s="5" t="s">
        <v>20</v>
      </c>
      <c r="C30" s="5" t="s">
        <v>36</v>
      </c>
      <c r="D30" s="5" t="s">
        <v>19</v>
      </c>
      <c r="E30" s="5" t="s">
        <v>30</v>
      </c>
      <c r="F30" s="5" t="s">
        <v>37</v>
      </c>
      <c r="G30" s="5">
        <v>1</v>
      </c>
      <c r="H30" s="5">
        <v>0</v>
      </c>
      <c r="I30" s="5">
        <v>0</v>
      </c>
      <c r="J30" s="45" t="s">
        <v>70</v>
      </c>
      <c r="K30" s="5">
        <v>1</v>
      </c>
      <c r="L30" s="5"/>
      <c r="M30" s="5"/>
      <c r="N30" s="5">
        <v>1</v>
      </c>
      <c r="O30" s="5">
        <v>1</v>
      </c>
      <c r="P30" s="5"/>
      <c r="Q30" s="5" t="s">
        <v>19</v>
      </c>
      <c r="R30" s="5" t="s">
        <v>19</v>
      </c>
      <c r="S30" s="5" t="s">
        <v>19</v>
      </c>
      <c r="T30" s="5" t="s">
        <v>33</v>
      </c>
      <c r="U30" s="14"/>
      <c r="V30" s="5" t="s">
        <v>41</v>
      </c>
      <c r="W30" s="5" t="s">
        <v>58</v>
      </c>
    </row>
    <row r="31" spans="1:23" x14ac:dyDescent="0.25">
      <c r="A31" s="18">
        <v>26</v>
      </c>
      <c r="B31" s="18" t="s">
        <v>20</v>
      </c>
      <c r="C31" s="18" t="s">
        <v>36</v>
      </c>
      <c r="D31" s="18" t="s">
        <v>19</v>
      </c>
      <c r="E31" s="18" t="s">
        <v>30</v>
      </c>
      <c r="F31" s="18" t="s">
        <v>69</v>
      </c>
      <c r="G31" s="18">
        <v>0</v>
      </c>
      <c r="H31" s="18">
        <v>1</v>
      </c>
      <c r="I31" s="18">
        <v>0</v>
      </c>
      <c r="J31" s="47" t="s">
        <v>88</v>
      </c>
      <c r="K31" s="18"/>
      <c r="L31" s="18">
        <v>1</v>
      </c>
      <c r="M31" s="18">
        <v>1</v>
      </c>
      <c r="N31" s="18"/>
      <c r="O31" s="18">
        <v>1</v>
      </c>
      <c r="P31" s="18"/>
      <c r="Q31" s="18" t="s">
        <v>19</v>
      </c>
      <c r="R31" s="18" t="s">
        <v>19</v>
      </c>
      <c r="S31" s="18" t="s">
        <v>33</v>
      </c>
      <c r="T31" s="18" t="s">
        <v>19</v>
      </c>
      <c r="U31" s="16"/>
      <c r="V31" s="18" t="s">
        <v>34</v>
      </c>
      <c r="W31" s="16"/>
    </row>
    <row r="32" spans="1:23" x14ac:dyDescent="0.25">
      <c r="A32" s="42"/>
      <c r="B32" s="42"/>
      <c r="C32" s="42"/>
      <c r="D32" s="42"/>
      <c r="E32" s="42"/>
      <c r="F32" s="42"/>
      <c r="G32" s="42">
        <f>SUM(G2:G31)</f>
        <v>21</v>
      </c>
      <c r="H32" s="42">
        <f>SUM(H2:H31)</f>
        <v>9</v>
      </c>
      <c r="I32" s="42">
        <f>SUM(I2:I31)</f>
        <v>10</v>
      </c>
      <c r="J32" s="48"/>
      <c r="K32" s="42">
        <f>SUM(Таблица3[[Recommendations ]])</f>
        <v>17</v>
      </c>
      <c r="L32" s="42">
        <f>SUM(Таблица3[Online rewiews and testimonials])</f>
        <v>11</v>
      </c>
      <c r="M32" s="42">
        <f>SUM(Таблица3[Website and clarity of info])</f>
        <v>16</v>
      </c>
      <c r="N32" s="42">
        <f>SUM(Таблица3[Services offered])</f>
        <v>19</v>
      </c>
      <c r="O32" s="42">
        <f>SUM(Таблица3[Cost of participation])</f>
        <v>14</v>
      </c>
      <c r="P32" s="42">
        <f>SUM(Таблица3[Accessibility])</f>
        <v>16</v>
      </c>
      <c r="Q32" s="42"/>
      <c r="R32" s="42"/>
      <c r="S32" s="42"/>
      <c r="T32" s="42"/>
      <c r="U32" s="15"/>
      <c r="V32" s="42"/>
      <c r="W32" s="15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71D28-C6F6-4D23-BD06-20D77FC4F7F8}">
  <dimension ref="A3:Z95"/>
  <sheetViews>
    <sheetView tabSelected="1" topLeftCell="A22" workbookViewId="0">
      <selection activeCell="D31" sqref="D31"/>
    </sheetView>
  </sheetViews>
  <sheetFormatPr defaultRowHeight="13.2" x14ac:dyDescent="0.25"/>
  <cols>
    <col min="1" max="1" width="70.6640625" bestFit="1" customWidth="1"/>
    <col min="2" max="2" width="20.21875" bestFit="1" customWidth="1"/>
    <col min="3" max="3" width="48.88671875" bestFit="1" customWidth="1"/>
    <col min="4" max="4" width="7.21875" bestFit="1" customWidth="1"/>
    <col min="5" max="5" width="11" bestFit="1" customWidth="1"/>
    <col min="6" max="6" width="46.77734375" bestFit="1" customWidth="1"/>
    <col min="7" max="7" width="51.33203125" bestFit="1" customWidth="1"/>
    <col min="8" max="8" width="48.6640625" bestFit="1" customWidth="1"/>
    <col min="9" max="9" width="11" bestFit="1" customWidth="1"/>
    <col min="10" max="10" width="4.109375" bestFit="1" customWidth="1"/>
    <col min="11" max="11" width="8.5546875" bestFit="1" customWidth="1"/>
    <col min="12" max="12" width="11" bestFit="1" customWidth="1"/>
    <col min="26" max="26" width="89.5546875" customWidth="1"/>
  </cols>
  <sheetData>
    <row r="3" spans="1:26" x14ac:dyDescent="0.25">
      <c r="A3" s="24" t="s">
        <v>111</v>
      </c>
      <c r="B3" s="25" t="s">
        <v>113</v>
      </c>
      <c r="Z3" s="38"/>
    </row>
    <row r="4" spans="1:26" x14ac:dyDescent="0.25">
      <c r="A4" s="26" t="s">
        <v>114</v>
      </c>
      <c r="B4" s="25">
        <v>8</v>
      </c>
    </row>
    <row r="5" spans="1:26" x14ac:dyDescent="0.25">
      <c r="A5" s="27" t="s">
        <v>115</v>
      </c>
      <c r="B5" s="28">
        <v>15</v>
      </c>
    </row>
    <row r="6" spans="1:26" x14ac:dyDescent="0.25">
      <c r="A6" s="27" t="s">
        <v>116</v>
      </c>
      <c r="B6" s="28">
        <v>4</v>
      </c>
    </row>
    <row r="7" spans="1:26" x14ac:dyDescent="0.25">
      <c r="A7" s="27" t="s">
        <v>117</v>
      </c>
      <c r="B7" s="28">
        <v>3</v>
      </c>
    </row>
    <row r="8" spans="1:26" x14ac:dyDescent="0.25">
      <c r="A8" s="29" t="s">
        <v>112</v>
      </c>
      <c r="B8" s="30">
        <v>30</v>
      </c>
    </row>
    <row r="10" spans="1:26" x14ac:dyDescent="0.25">
      <c r="A10" s="24" t="s">
        <v>111</v>
      </c>
      <c r="B10" s="25" t="s">
        <v>113</v>
      </c>
    </row>
    <row r="11" spans="1:26" x14ac:dyDescent="0.25">
      <c r="A11" s="26" t="s">
        <v>20</v>
      </c>
      <c r="B11" s="25">
        <v>22</v>
      </c>
    </row>
    <row r="12" spans="1:26" x14ac:dyDescent="0.25">
      <c r="A12" s="27" t="s">
        <v>43</v>
      </c>
      <c r="B12" s="28">
        <v>7</v>
      </c>
    </row>
    <row r="13" spans="1:26" x14ac:dyDescent="0.25">
      <c r="A13" s="27" t="s">
        <v>52</v>
      </c>
      <c r="B13" s="28">
        <v>1</v>
      </c>
    </row>
    <row r="14" spans="1:26" x14ac:dyDescent="0.25">
      <c r="A14" s="29" t="s">
        <v>112</v>
      </c>
      <c r="B14" s="30">
        <v>30</v>
      </c>
    </row>
    <row r="16" spans="1:26" x14ac:dyDescent="0.25">
      <c r="A16" s="24" t="s">
        <v>111</v>
      </c>
      <c r="B16" s="25" t="s">
        <v>113</v>
      </c>
    </row>
    <row r="17" spans="1:7" x14ac:dyDescent="0.25">
      <c r="A17" s="26" t="s">
        <v>36</v>
      </c>
      <c r="B17" s="25">
        <v>19</v>
      </c>
    </row>
    <row r="18" spans="1:7" x14ac:dyDescent="0.25">
      <c r="A18" s="27" t="s">
        <v>44</v>
      </c>
      <c r="B18" s="28">
        <v>3</v>
      </c>
    </row>
    <row r="19" spans="1:7" x14ac:dyDescent="0.25">
      <c r="A19" s="27" t="s">
        <v>28</v>
      </c>
      <c r="B19" s="28">
        <v>4</v>
      </c>
    </row>
    <row r="20" spans="1:7" x14ac:dyDescent="0.25">
      <c r="A20" s="27" t="s">
        <v>21</v>
      </c>
      <c r="B20" s="28">
        <v>4</v>
      </c>
    </row>
    <row r="21" spans="1:7" x14ac:dyDescent="0.25">
      <c r="A21" s="29" t="s">
        <v>112</v>
      </c>
      <c r="B21" s="30">
        <v>30</v>
      </c>
    </row>
    <row r="23" spans="1:7" x14ac:dyDescent="0.25">
      <c r="A23" s="24" t="s">
        <v>119</v>
      </c>
      <c r="B23" s="24" t="s">
        <v>118</v>
      </c>
      <c r="C23" s="22"/>
      <c r="D23" s="22"/>
      <c r="E23" s="23"/>
    </row>
    <row r="24" spans="1:7" x14ac:dyDescent="0.25">
      <c r="A24" s="24" t="s">
        <v>111</v>
      </c>
      <c r="B24" s="21" t="s">
        <v>29</v>
      </c>
      <c r="C24" s="31" t="s">
        <v>47</v>
      </c>
      <c r="D24" s="31" t="s">
        <v>19</v>
      </c>
      <c r="E24" s="25" t="s">
        <v>112</v>
      </c>
      <c r="G24" s="38"/>
    </row>
    <row r="25" spans="1:7" x14ac:dyDescent="0.25">
      <c r="A25" s="26" t="s">
        <v>36</v>
      </c>
      <c r="B25" s="21">
        <v>1</v>
      </c>
      <c r="C25" s="31">
        <v>1</v>
      </c>
      <c r="D25" s="31">
        <v>17</v>
      </c>
      <c r="E25" s="25">
        <v>19</v>
      </c>
    </row>
    <row r="26" spans="1:7" x14ac:dyDescent="0.25">
      <c r="A26" s="27" t="s">
        <v>44</v>
      </c>
      <c r="B26" s="32"/>
      <c r="C26" s="33"/>
      <c r="D26" s="33">
        <v>3</v>
      </c>
      <c r="E26" s="28">
        <v>3</v>
      </c>
    </row>
    <row r="27" spans="1:7" x14ac:dyDescent="0.25">
      <c r="A27" s="27" t="s">
        <v>28</v>
      </c>
      <c r="B27" s="32">
        <v>2</v>
      </c>
      <c r="C27" s="33"/>
      <c r="D27" s="33">
        <v>2</v>
      </c>
      <c r="E27" s="28">
        <v>4</v>
      </c>
    </row>
    <row r="28" spans="1:7" x14ac:dyDescent="0.25">
      <c r="A28" s="27" t="s">
        <v>21</v>
      </c>
      <c r="B28" s="32">
        <v>1</v>
      </c>
      <c r="C28" s="33">
        <v>1</v>
      </c>
      <c r="D28" s="33">
        <v>2</v>
      </c>
      <c r="E28" s="28">
        <v>4</v>
      </c>
    </row>
    <row r="29" spans="1:7" x14ac:dyDescent="0.25">
      <c r="A29" s="29" t="s">
        <v>112</v>
      </c>
      <c r="B29" s="34">
        <v>4</v>
      </c>
      <c r="C29" s="35">
        <v>2</v>
      </c>
      <c r="D29" s="35">
        <v>24</v>
      </c>
      <c r="E29" s="30">
        <v>30</v>
      </c>
    </row>
    <row r="31" spans="1:7" ht="79.2" x14ac:dyDescent="0.25">
      <c r="A31" s="24" t="s">
        <v>111</v>
      </c>
      <c r="B31" s="36" t="s">
        <v>120</v>
      </c>
    </row>
    <row r="32" spans="1:7" x14ac:dyDescent="0.25">
      <c r="A32" s="26" t="s">
        <v>86</v>
      </c>
      <c r="B32" s="25">
        <v>1</v>
      </c>
    </row>
    <row r="33" spans="1:2" x14ac:dyDescent="0.25">
      <c r="A33" s="27" t="s">
        <v>22</v>
      </c>
      <c r="B33" s="28">
        <v>7</v>
      </c>
    </row>
    <row r="34" spans="1:2" x14ac:dyDescent="0.25">
      <c r="A34" s="27" t="s">
        <v>90</v>
      </c>
      <c r="B34" s="28">
        <v>1</v>
      </c>
    </row>
    <row r="35" spans="1:2" x14ac:dyDescent="0.25">
      <c r="A35" s="27" t="s">
        <v>45</v>
      </c>
      <c r="B35" s="28">
        <v>2</v>
      </c>
    </row>
    <row r="36" spans="1:2" x14ac:dyDescent="0.25">
      <c r="A36" s="27" t="s">
        <v>30</v>
      </c>
      <c r="B36" s="28">
        <v>13</v>
      </c>
    </row>
    <row r="37" spans="1:2" x14ac:dyDescent="0.25">
      <c r="A37" s="27" t="s">
        <v>49</v>
      </c>
      <c r="B37" s="28">
        <v>6</v>
      </c>
    </row>
    <row r="38" spans="1:2" x14ac:dyDescent="0.25">
      <c r="A38" s="29" t="s">
        <v>112</v>
      </c>
      <c r="B38" s="30">
        <v>30</v>
      </c>
    </row>
    <row r="40" spans="1:2" x14ac:dyDescent="0.25">
      <c r="A40" s="36" t="s">
        <v>124</v>
      </c>
    </row>
    <row r="41" spans="1:2" x14ac:dyDescent="0.25">
      <c r="A41" s="30">
        <v>15</v>
      </c>
    </row>
    <row r="44" spans="1:2" x14ac:dyDescent="0.25">
      <c r="A44" s="40"/>
      <c r="B44" s="43" t="s">
        <v>127</v>
      </c>
    </row>
    <row r="45" spans="1:2" x14ac:dyDescent="0.25">
      <c r="A45" s="11" t="s">
        <v>121</v>
      </c>
      <c r="B45">
        <f>Таблица3[[#Totals],[Same profession as in a home country]]</f>
        <v>21</v>
      </c>
    </row>
    <row r="46" spans="1:2" x14ac:dyDescent="0.25">
      <c r="A46" s="11" t="s">
        <v>123</v>
      </c>
      <c r="B46">
        <f>Таблица3[[#Totals],[Not sure or any available job]]</f>
        <v>10</v>
      </c>
    </row>
    <row r="47" spans="1:2" x14ac:dyDescent="0.25">
      <c r="A47" s="11" t="s">
        <v>122</v>
      </c>
      <c r="B47">
        <f>Таблица3[[#Totals],[Other profession than in a home country ]]</f>
        <v>9</v>
      </c>
    </row>
    <row r="59" spans="1:6" x14ac:dyDescent="0.25">
      <c r="F59" s="39" t="s">
        <v>128</v>
      </c>
    </row>
    <row r="61" spans="1:6" ht="13.8" thickBot="1" x14ac:dyDescent="0.3"/>
    <row r="62" spans="1:6" x14ac:dyDescent="0.25">
      <c r="A62" s="49" t="s">
        <v>132</v>
      </c>
      <c r="B62" s="50">
        <f>Таблица3[[#Totals],[Services offered]]</f>
        <v>19</v>
      </c>
    </row>
    <row r="63" spans="1:6" x14ac:dyDescent="0.25">
      <c r="A63" s="51" t="s">
        <v>129</v>
      </c>
      <c r="B63" s="52">
        <f>Таблица3[[#Totals],[Recommendations ]]</f>
        <v>17</v>
      </c>
    </row>
    <row r="64" spans="1:6" x14ac:dyDescent="0.25">
      <c r="A64" s="51" t="s">
        <v>134</v>
      </c>
      <c r="B64" s="52">
        <f>Таблица3[[#Totals],[Accessibility]]</f>
        <v>16</v>
      </c>
    </row>
    <row r="65" spans="1:4" x14ac:dyDescent="0.25">
      <c r="A65" s="51" t="s">
        <v>131</v>
      </c>
      <c r="B65" s="52">
        <f>Таблица3[[#Totals],[Website and clarity of info]]</f>
        <v>16</v>
      </c>
    </row>
    <row r="66" spans="1:4" x14ac:dyDescent="0.25">
      <c r="A66" s="51" t="s">
        <v>133</v>
      </c>
      <c r="B66" s="52">
        <f>Таблица3[[#Totals],[Cost of participation]]</f>
        <v>14</v>
      </c>
    </row>
    <row r="67" spans="1:4" ht="13.8" thickBot="1" x14ac:dyDescent="0.3">
      <c r="A67" s="53" t="s">
        <v>130</v>
      </c>
      <c r="B67" s="54">
        <f>Таблица3[[#Totals],[Online rewiews and testimonials]]</f>
        <v>11</v>
      </c>
    </row>
    <row r="73" spans="1:4" ht="13.8" thickBot="1" x14ac:dyDescent="0.3"/>
    <row r="74" spans="1:4" ht="27" thickBot="1" x14ac:dyDescent="0.3">
      <c r="A74" s="55"/>
      <c r="B74" s="56" t="s">
        <v>135</v>
      </c>
      <c r="C74" s="56" t="s">
        <v>136</v>
      </c>
      <c r="D74" s="56" t="s">
        <v>137</v>
      </c>
    </row>
    <row r="75" spans="1:4" ht="27" thickBot="1" x14ac:dyDescent="0.3">
      <c r="A75" s="57" t="s">
        <v>138</v>
      </c>
      <c r="B75" s="58">
        <v>23</v>
      </c>
      <c r="C75" s="58">
        <v>1</v>
      </c>
      <c r="D75" s="58">
        <v>6</v>
      </c>
    </row>
    <row r="76" spans="1:4" ht="13.8" thickBot="1" x14ac:dyDescent="0.3">
      <c r="A76" s="57" t="s">
        <v>108</v>
      </c>
      <c r="B76" s="58">
        <v>18</v>
      </c>
      <c r="C76" s="58">
        <v>5</v>
      </c>
      <c r="D76" s="58">
        <v>7</v>
      </c>
    </row>
    <row r="77" spans="1:4" ht="27" thickBot="1" x14ac:dyDescent="0.3">
      <c r="A77" s="57" t="s">
        <v>109</v>
      </c>
      <c r="B77" s="58">
        <v>16</v>
      </c>
      <c r="C77" s="58">
        <v>3</v>
      </c>
      <c r="D77" s="58">
        <v>11</v>
      </c>
    </row>
    <row r="78" spans="1:4" ht="13.8" thickBot="1" x14ac:dyDescent="0.3">
      <c r="A78" s="57" t="s">
        <v>110</v>
      </c>
      <c r="B78" s="58">
        <v>17</v>
      </c>
      <c r="C78" s="58">
        <v>7</v>
      </c>
      <c r="D78" s="58">
        <v>6</v>
      </c>
    </row>
    <row r="79" spans="1:4" ht="13.8" thickBot="1" x14ac:dyDescent="0.3"/>
    <row r="80" spans="1:4" ht="13.8" thickBot="1" x14ac:dyDescent="0.3">
      <c r="A80" s="55"/>
      <c r="B80" s="56" t="s">
        <v>135</v>
      </c>
      <c r="C80" s="56" t="s">
        <v>140</v>
      </c>
      <c r="D80" s="56"/>
    </row>
    <row r="81" spans="1:5" ht="27" thickBot="1" x14ac:dyDescent="0.3">
      <c r="A81" s="57" t="s">
        <v>138</v>
      </c>
      <c r="B81" s="58">
        <v>23</v>
      </c>
      <c r="C81" s="58">
        <f>SUM(C75,D75)</f>
        <v>7</v>
      </c>
      <c r="D81" s="58"/>
    </row>
    <row r="82" spans="1:5" ht="13.8" thickBot="1" x14ac:dyDescent="0.3">
      <c r="A82" s="57" t="s">
        <v>108</v>
      </c>
      <c r="B82" s="58">
        <v>18</v>
      </c>
      <c r="C82" s="58">
        <f t="shared" ref="C82:C84" si="0">SUM(C76,D76)</f>
        <v>12</v>
      </c>
      <c r="D82" s="58"/>
    </row>
    <row r="83" spans="1:5" ht="27" thickBot="1" x14ac:dyDescent="0.3">
      <c r="A83" s="57" t="s">
        <v>109</v>
      </c>
      <c r="B83" s="58">
        <v>16</v>
      </c>
      <c r="C83" s="58">
        <f t="shared" si="0"/>
        <v>14</v>
      </c>
      <c r="D83" s="58"/>
    </row>
    <row r="84" spans="1:5" ht="13.8" thickBot="1" x14ac:dyDescent="0.3">
      <c r="A84" s="57" t="s">
        <v>110</v>
      </c>
      <c r="B84" s="58">
        <v>17</v>
      </c>
      <c r="C84" s="58">
        <f t="shared" si="0"/>
        <v>13</v>
      </c>
      <c r="D84" s="58"/>
    </row>
    <row r="87" spans="1:5" x14ac:dyDescent="0.25">
      <c r="A87" s="24" t="s">
        <v>139</v>
      </c>
      <c r="B87" s="24" t="s">
        <v>118</v>
      </c>
      <c r="C87" s="22"/>
      <c r="D87" s="22"/>
      <c r="E87" s="23"/>
    </row>
    <row r="88" spans="1:5" x14ac:dyDescent="0.25">
      <c r="A88" s="24" t="s">
        <v>111</v>
      </c>
      <c r="B88" s="21" t="s">
        <v>58</v>
      </c>
      <c r="C88" s="31" t="s">
        <v>26</v>
      </c>
      <c r="D88" s="31" t="s">
        <v>125</v>
      </c>
      <c r="E88" s="25" t="s">
        <v>112</v>
      </c>
    </row>
    <row r="89" spans="1:5" x14ac:dyDescent="0.25">
      <c r="A89" s="26" t="s">
        <v>41</v>
      </c>
      <c r="B89" s="21">
        <v>2</v>
      </c>
      <c r="C89" s="31">
        <v>4</v>
      </c>
      <c r="D89" s="31"/>
      <c r="E89" s="25">
        <v>6</v>
      </c>
    </row>
    <row r="90" spans="1:5" x14ac:dyDescent="0.25">
      <c r="A90" s="27" t="s">
        <v>76</v>
      </c>
      <c r="B90" s="32">
        <v>1</v>
      </c>
      <c r="C90" s="33"/>
      <c r="D90" s="33"/>
      <c r="E90" s="28">
        <v>1</v>
      </c>
    </row>
    <row r="91" spans="1:5" x14ac:dyDescent="0.25">
      <c r="A91" s="27" t="s">
        <v>25</v>
      </c>
      <c r="B91" s="32">
        <v>1</v>
      </c>
      <c r="C91" s="33">
        <v>7</v>
      </c>
      <c r="D91" s="33"/>
      <c r="E91" s="28">
        <v>8</v>
      </c>
    </row>
    <row r="92" spans="1:5" x14ac:dyDescent="0.25">
      <c r="A92" s="27" t="s">
        <v>34</v>
      </c>
      <c r="B92" s="32"/>
      <c r="C92" s="33"/>
      <c r="D92" s="33">
        <v>15</v>
      </c>
      <c r="E92" s="28">
        <v>15</v>
      </c>
    </row>
    <row r="93" spans="1:5" x14ac:dyDescent="0.25">
      <c r="A93" s="29" t="s">
        <v>112</v>
      </c>
      <c r="B93" s="34">
        <v>4</v>
      </c>
      <c r="C93" s="35">
        <v>11</v>
      </c>
      <c r="D93" s="35">
        <v>15</v>
      </c>
      <c r="E93" s="30">
        <v>30</v>
      </c>
    </row>
    <row r="95" spans="1:5" x14ac:dyDescent="0.25">
      <c r="A95" s="39" t="s">
        <v>141</v>
      </c>
    </row>
  </sheetData>
  <autoFilter ref="A44:B47" xr:uid="{16471D28-C6F6-4D23-BD06-20D77FC4F7F8}">
    <sortState xmlns:xlrd2="http://schemas.microsoft.com/office/spreadsheetml/2017/richdata2" ref="A45:B47">
      <sortCondition descending="1" ref="B44:B47"/>
    </sortState>
  </autoFilter>
  <sortState xmlns:xlrd2="http://schemas.microsoft.com/office/spreadsheetml/2017/richdata2" ref="A62:B67">
    <sortCondition descending="1" ref="B67"/>
  </sortState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Form Responses 1</vt:lpstr>
      <vt:lpstr>base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Ivchenko</dc:creator>
  <cp:lastModifiedBy>Daria Ivchenko</cp:lastModifiedBy>
  <dcterms:created xsi:type="dcterms:W3CDTF">2025-10-23T11:08:51Z</dcterms:created>
  <dcterms:modified xsi:type="dcterms:W3CDTF">2026-03-09T12:59:53Z</dcterms:modified>
</cp:coreProperties>
</file>